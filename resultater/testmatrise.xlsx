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22d1cc6c324e07f/Skole/Cyberingeniørskolen/6. Semester/Bacheloroppgave/MCP-DFIR-Automation/resultater/"/>
    </mc:Choice>
  </mc:AlternateContent>
  <xr:revisionPtr revIDLastSave="0" documentId="8_{589A2B42-66AA-4120-A48C-AB257942B2E8}" xr6:coauthVersionLast="47" xr6:coauthVersionMax="47" xr10:uidLastSave="{00000000-0000-0000-0000-000000000000}"/>
  <bookViews>
    <workbookView xWindow="1170" yWindow="330" windowWidth="21690" windowHeight="20985" xr2:uid="{00000000-000D-0000-FFFF-FFFF00000000}"/>
  </bookViews>
  <sheets>
    <sheet name="Fullstendig Testmatrise"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 i="1" l="1"/>
  <c r="I50" i="1" s="1"/>
  <c r="L50" i="1"/>
  <c r="M50" i="1" s="1"/>
  <c r="Z50" i="1"/>
  <c r="AA50" i="1" s="1"/>
  <c r="AD50" i="1"/>
  <c r="AE50" i="1" s="1"/>
  <c r="AF50" i="1"/>
  <c r="AG50" i="1" s="1"/>
  <c r="AH50" i="1"/>
  <c r="AI50" i="1" s="1"/>
  <c r="AJ50" i="1"/>
  <c r="AK50" i="1" s="1"/>
  <c r="AL50" i="1"/>
  <c r="AM50" i="1" s="1"/>
  <c r="F51" i="1"/>
  <c r="G51" i="1" s="1"/>
  <c r="H51" i="1"/>
  <c r="I51" i="1" s="1"/>
  <c r="J51" i="1"/>
  <c r="K51" i="1" s="1"/>
  <c r="L51" i="1"/>
  <c r="M51" i="1" s="1"/>
  <c r="N51" i="1"/>
  <c r="O51" i="1" s="1"/>
  <c r="P51" i="1"/>
  <c r="Q51" i="1" s="1"/>
  <c r="R51" i="1"/>
  <c r="S51" i="1" s="1"/>
  <c r="T51" i="1"/>
  <c r="U51" i="1" s="1"/>
  <c r="V51" i="1"/>
  <c r="W51" i="1" s="1"/>
  <c r="X51" i="1"/>
  <c r="Y51" i="1" s="1"/>
  <c r="Z51" i="1"/>
  <c r="AA51" i="1" s="1"/>
  <c r="AB51" i="1"/>
  <c r="AC51" i="1" s="1"/>
  <c r="AD51" i="1"/>
  <c r="AE51" i="1" s="1"/>
  <c r="AF51" i="1"/>
  <c r="AG51" i="1"/>
  <c r="AH51" i="1"/>
  <c r="AI51" i="1" s="1"/>
  <c r="AJ51" i="1"/>
  <c r="AK51" i="1" s="1"/>
  <c r="AL51" i="1"/>
  <c r="AM51" i="1" s="1"/>
  <c r="F52" i="1"/>
  <c r="G52" i="1" s="1"/>
  <c r="H52" i="1"/>
  <c r="I52" i="1" s="1"/>
  <c r="J52" i="1"/>
  <c r="K52" i="1" s="1"/>
  <c r="L52" i="1"/>
  <c r="M52" i="1" s="1"/>
  <c r="N52" i="1"/>
  <c r="O52" i="1" s="1"/>
  <c r="P52" i="1"/>
  <c r="Q52" i="1" s="1"/>
  <c r="R52" i="1"/>
  <c r="S52" i="1" s="1"/>
  <c r="T52" i="1"/>
  <c r="U52" i="1" s="1"/>
  <c r="V52" i="1"/>
  <c r="W52" i="1" s="1"/>
  <c r="X52" i="1"/>
  <c r="Y52" i="1" s="1"/>
  <c r="Z52" i="1"/>
  <c r="AA52" i="1"/>
  <c r="AB52" i="1"/>
  <c r="AC52" i="1" s="1"/>
  <c r="AD52" i="1"/>
  <c r="AE52" i="1" s="1"/>
  <c r="AF52" i="1"/>
  <c r="AG52" i="1" s="1"/>
  <c r="AH52" i="1"/>
  <c r="AI52" i="1" s="1"/>
  <c r="AJ52" i="1"/>
  <c r="AK52" i="1" s="1"/>
  <c r="AL52" i="1"/>
  <c r="AM52" i="1" s="1"/>
  <c r="F53" i="1"/>
  <c r="G53" i="1" s="1"/>
  <c r="H53" i="1"/>
  <c r="I53" i="1" s="1"/>
  <c r="J53" i="1"/>
  <c r="K53" i="1" s="1"/>
  <c r="L53" i="1"/>
  <c r="M53" i="1" s="1"/>
  <c r="N53" i="1"/>
  <c r="O53" i="1" s="1"/>
  <c r="P53" i="1"/>
  <c r="Q53" i="1" s="1"/>
  <c r="R53" i="1"/>
  <c r="S53" i="1" s="1"/>
  <c r="T53" i="1"/>
  <c r="U53" i="1" s="1"/>
  <c r="V53" i="1"/>
  <c r="W53" i="1" s="1"/>
  <c r="X53" i="1"/>
  <c r="Y53" i="1" s="1"/>
  <c r="Z53" i="1"/>
  <c r="AA53" i="1" s="1"/>
  <c r="AB53" i="1"/>
  <c r="AC53" i="1" s="1"/>
  <c r="AD53" i="1"/>
  <c r="AE53" i="1" s="1"/>
  <c r="AF53" i="1"/>
  <c r="AG53" i="1" s="1"/>
  <c r="AH53" i="1"/>
  <c r="AI53" i="1" s="1"/>
  <c r="AJ53" i="1"/>
  <c r="AK53" i="1" s="1"/>
  <c r="AL53" i="1"/>
  <c r="AM53" i="1" s="1"/>
  <c r="F54" i="1"/>
  <c r="G54" i="1" s="1"/>
  <c r="H54" i="1"/>
  <c r="I54" i="1" s="1"/>
  <c r="J54" i="1"/>
  <c r="K54" i="1"/>
  <c r="L54" i="1"/>
  <c r="M54" i="1" s="1"/>
  <c r="N54" i="1"/>
  <c r="O54" i="1" s="1"/>
  <c r="P54" i="1"/>
  <c r="Q54" i="1" s="1"/>
  <c r="R54" i="1"/>
  <c r="S54" i="1" s="1"/>
  <c r="T54" i="1"/>
  <c r="U54" i="1" s="1"/>
  <c r="V54" i="1"/>
  <c r="W54" i="1" s="1"/>
  <c r="X54" i="1"/>
  <c r="Y54" i="1" s="1"/>
  <c r="Z54" i="1"/>
  <c r="AA54" i="1" s="1"/>
  <c r="AB54" i="1"/>
  <c r="AC54" i="1" s="1"/>
  <c r="AD54" i="1"/>
  <c r="AE54" i="1" s="1"/>
  <c r="AF54" i="1"/>
  <c r="AG54" i="1" s="1"/>
  <c r="AH54" i="1"/>
  <c r="AI54" i="1" s="1"/>
  <c r="AJ54" i="1"/>
  <c r="AK54" i="1" s="1"/>
  <c r="AL54" i="1"/>
  <c r="AM54" i="1" s="1"/>
  <c r="F55" i="1"/>
  <c r="G55" i="1" s="1"/>
  <c r="H55" i="1"/>
  <c r="I55" i="1" s="1"/>
  <c r="J55" i="1"/>
  <c r="K55" i="1" s="1"/>
  <c r="L55" i="1"/>
  <c r="M55" i="1" s="1"/>
  <c r="N55" i="1"/>
  <c r="O55" i="1" s="1"/>
  <c r="P55" i="1"/>
  <c r="Q55" i="1" s="1"/>
  <c r="R55" i="1"/>
  <c r="S55" i="1" s="1"/>
  <c r="T55" i="1"/>
  <c r="U55" i="1" s="1"/>
  <c r="V55" i="1"/>
  <c r="W55" i="1" s="1"/>
  <c r="X55" i="1"/>
  <c r="Y55" i="1" s="1"/>
  <c r="Z55" i="1"/>
  <c r="AA55" i="1" s="1"/>
  <c r="AB55" i="1"/>
  <c r="AC55" i="1" s="1"/>
  <c r="AD55" i="1"/>
  <c r="AE55" i="1" s="1"/>
  <c r="AF55" i="1"/>
  <c r="AG55" i="1" s="1"/>
  <c r="AH55" i="1"/>
  <c r="AI55" i="1" s="1"/>
  <c r="AJ55" i="1"/>
  <c r="AK55" i="1" s="1"/>
  <c r="AL55" i="1"/>
  <c r="AM55" i="1" s="1"/>
  <c r="F56" i="1"/>
  <c r="G56" i="1" s="1"/>
  <c r="H56" i="1"/>
  <c r="I56" i="1" s="1"/>
  <c r="J56" i="1"/>
  <c r="K56" i="1" s="1"/>
  <c r="L56" i="1"/>
  <c r="M56" i="1" s="1"/>
  <c r="N56" i="1"/>
  <c r="O56" i="1" s="1"/>
  <c r="P56" i="1"/>
  <c r="Q56" i="1" s="1"/>
  <c r="R56" i="1"/>
  <c r="S56" i="1" s="1"/>
  <c r="T56" i="1"/>
  <c r="U56" i="1" s="1"/>
  <c r="V56" i="1"/>
  <c r="W56" i="1" s="1"/>
  <c r="X56" i="1"/>
  <c r="Y56" i="1" s="1"/>
  <c r="Z56" i="1"/>
  <c r="AA56" i="1"/>
  <c r="AB56" i="1"/>
  <c r="AC56" i="1" s="1"/>
  <c r="AD56" i="1"/>
  <c r="AE56" i="1" s="1"/>
  <c r="AF56" i="1"/>
  <c r="AG56" i="1" s="1"/>
  <c r="AH56" i="1"/>
  <c r="AI56" i="1" s="1"/>
  <c r="AJ56" i="1"/>
  <c r="AK56" i="1" s="1"/>
  <c r="AL56" i="1"/>
  <c r="AM56" i="1" s="1"/>
  <c r="A9" i="1"/>
  <c r="F50" i="1" s="1"/>
  <c r="G50" i="1" s="1"/>
  <c r="D56" i="1"/>
  <c r="E56" i="1" s="1"/>
  <c r="D55" i="1"/>
  <c r="E55" i="1" s="1"/>
  <c r="D54" i="1"/>
  <c r="E54" i="1" s="1"/>
  <c r="D53" i="1"/>
  <c r="E53" i="1" s="1"/>
  <c r="D52" i="1"/>
  <c r="E52" i="1" s="1"/>
  <c r="D51" i="1"/>
  <c r="E51" i="1" s="1"/>
  <c r="X50" i="1" l="1"/>
  <c r="Y50" i="1" s="1"/>
  <c r="N50" i="1"/>
  <c r="O50" i="1" s="1"/>
  <c r="V50" i="1"/>
  <c r="W50" i="1" s="1"/>
  <c r="J50" i="1"/>
  <c r="K50" i="1" s="1"/>
  <c r="T50" i="1"/>
  <c r="U50" i="1" s="1"/>
  <c r="AB50" i="1"/>
  <c r="AC50" i="1" s="1"/>
  <c r="R50" i="1"/>
  <c r="S50" i="1" s="1"/>
  <c r="P50" i="1"/>
  <c r="Q50" i="1" s="1"/>
  <c r="D50" i="1"/>
  <c r="E50" i="1" s="1"/>
</calcChain>
</file>

<file path=xl/sharedStrings.xml><?xml version="1.0" encoding="utf-8"?>
<sst xmlns="http://schemas.openxmlformats.org/spreadsheetml/2006/main" count="774" uniqueCount="96">
  <si>
    <t>Skybasert</t>
  </si>
  <si>
    <t>Lokal</t>
  </si>
  <si>
    <t>Artefakt</t>
  </si>
  <si>
    <t>Forslag til bevis</t>
  </si>
  <si>
    <t>Begge</t>
  </si>
  <si>
    <t>Elastic</t>
  </si>
  <si>
    <t>Ghidra</t>
  </si>
  <si>
    <t>Skill KI</t>
  </si>
  <si>
    <t>Subagenter</t>
  </si>
  <si>
    <t>Mikro-modell</t>
  </si>
  <si>
    <t>Nevnt</t>
  </si>
  <si>
    <t>Bevist</t>
  </si>
  <si>
    <t>Inngangsvektor</t>
  </si>
  <si>
    <t>Anders klikker på lenke på nordnet.no</t>
  </si>
  <si>
    <t>DNS</t>
  </si>
  <si>
    <t>x</t>
  </si>
  <si>
    <t>John klikker på lenge på reddit.com</t>
  </si>
  <si>
    <t>f1leshare.net (10.3.124.26) for nedlasting</t>
  </si>
  <si>
    <t>Logg for nedlastet binærfil</t>
  </si>
  <si>
    <t>ClickFix phising Win+R CTRL+V</t>
  </si>
  <si>
    <t>RunMRU register</t>
  </si>
  <si>
    <t>Rettet mot europeisk forsvarsindustri</t>
  </si>
  <si>
    <t>Kan ikke bevises</t>
  </si>
  <si>
    <t>Eksfiltrasjonsserver</t>
  </si>
  <si>
    <t>MiccosoftUpdate.com (10.3.97.182) for loggserver</t>
  </si>
  <si>
    <t>Nettverkstrafikk</t>
  </si>
  <si>
    <t>Sender systeminformasjon til /api/info</t>
  </si>
  <si>
    <t>Tastetrykk sendes til /api/data</t>
  </si>
  <si>
    <t>Aktivt vindu sendes til /api/data</t>
  </si>
  <si>
    <t>Utklippstavle sendes til /api/data</t>
  </si>
  <si>
    <t>Username er key for AES (GetUserNameA)</t>
  </si>
  <si>
    <t>Statisk analyse</t>
  </si>
  <si>
    <t>C2-server</t>
  </si>
  <si>
    <t>windowsupdater.tk (10.3.215.83) for C2-server</t>
  </si>
  <si>
    <t>/windows/checkforupdate brukes til å hente kommandoer fra C2</t>
  </si>
  <si>
    <t>C2 sender resultat til /update/servicedata</t>
  </si>
  <si>
    <t>C2 polling skjer hvert 30. sekund</t>
  </si>
  <si>
    <t>Statisk analyse / anslag fra nettverkslogg</t>
  </si>
  <si>
    <t>Hostname er key for AES (GetComputerNameA)</t>
  </si>
  <si>
    <t>Kommandoer kjøres via cmd.exe</t>
  </si>
  <si>
    <t>Statisk analyse / kommandohistorikk</t>
  </si>
  <si>
    <t>Enumerering av documents og desktop på Anders' maskin</t>
  </si>
  <si>
    <t>Konkret kommando</t>
  </si>
  <si>
    <t>Leser mail på skrivebordet til Anders</t>
  </si>
  <si>
    <t>Dekryptert</t>
  </si>
  <si>
    <t>AES-128-ECB brukes til å kryptere data</t>
  </si>
  <si>
    <t>Dekryptert mail som ble hentet ut</t>
  </si>
  <si>
    <t>Dekryptert nettverkstrafikk</t>
  </si>
  <si>
    <t>Anders logger på og avslører passord og brukernavn til vaultwarden</t>
  </si>
  <si>
    <t>Dekryptert nettverkstrafikk (keylogger)</t>
  </si>
  <si>
    <t>Kopierer ut SSH-nøkkel fra vaultwarden</t>
  </si>
  <si>
    <t>Persistens</t>
  </si>
  <si>
    <t>Kopieres til %LocalAppData%\Microsoft\ (updater.exe)</t>
  </si>
  <si>
    <t>Logg</t>
  </si>
  <si>
    <t>Persistens i Startup-mappe (msteamsupdater.exe)</t>
  </si>
  <si>
    <t>Persistens i HKCU\CurrentVersion\Run</t>
  </si>
  <si>
    <t>Registerlogg</t>
  </si>
  <si>
    <t>Falsk persistens i HKLM TaskCache</t>
  </si>
  <si>
    <t>Registerlogg (skal nevne at det ikke er persistens i seg selv)</t>
  </si>
  <si>
    <t>Annet</t>
  </si>
  <si>
    <t>Kjører med elevated privilages</t>
  </si>
  <si>
    <t>Kommandohistorikk</t>
  </si>
  <si>
    <t>Mutex hindrer flere instanser</t>
  </si>
  <si>
    <t>Stopper hvis russisk tastaturoppsett oppdages (bevises på John maskin)</t>
  </si>
  <si>
    <t>Forståelse av hendelsen på Johns maskin</t>
  </si>
  <si>
    <t>Kjører skjult uten konsoll</t>
  </si>
  <si>
    <t>Sletter alt på skrivebordet til Bohdan (ingen bruker)</t>
  </si>
  <si>
    <t>Omfang</t>
  </si>
  <si>
    <t>10.3.10.21 (Anders) er fullstendig kompromitert</t>
  </si>
  <si>
    <t>10.3.10.22 (John) er ikke fullstendig kompromitert</t>
  </si>
  <si>
    <t>10.3.10.23 (Emil) blir ikke nevnt som kompromitert</t>
  </si>
  <si>
    <t>Veldig mye kode. Lite detaljeri forklaringer. Gjengir mest, tolker ikke så mye.</t>
  </si>
  <si>
    <t>Virker som den har okey forståelse på noe, men ikke utover hva den finner som enkle iocer eller lignende. Den går ikke noe dypere og holder seg på "overflaten"</t>
  </si>
  <si>
    <t>Den forstår en del, men klarer ikke å skrive riktig, så i et avsnitt nevner den spesefike detaljer, som den ikke nevner i et annent avsnitt, eller motsier seg selv en del ganger</t>
  </si>
  <si>
    <t>Den var veldig god på forståelse, særlig da den klarte å dekryptere. Virker som den fant et spor, nemlig med den dekrypterte dataen, og stoppet tidlig. Noe som resulterte i at den ikke fikk med seg noe om russisk tastatur eller bohdan etc.</t>
  </si>
  <si>
    <t>Missforstår C2-domener og tror at keylogger sender til .tk. Påstår at angriper har "enumarated credentials"</t>
  </si>
  <si>
    <t xml:space="preserve">Vedlig rart at den med samme prompt å skill ikke klarer å levere til samme beviskrav som de andre modellene. Den forstår egentlig alt, så kunne svart på det meste gitt oppfølginsspørsmål. Veldig bra at den klarer å dekryptere. </t>
  </si>
  <si>
    <t>Identifiserer XOR desktop, men klarer ikke å beregne</t>
  </si>
  <si>
    <t>Forsøker en tidslinje, men opplever den som rotete. Mange banale funn som ikke blir sjekket i elastic</t>
  </si>
  <si>
    <t>Den er grei, men tar mest fra statisk ghidra, så tror ikke den forstår noen sammenheng eller mer en det basice</t>
  </si>
  <si>
    <t>Denne prøvde faktisk å kjøre python kode som skulle dekryptere, og var veldig nærme. Etter å ha sett i loggene virket det som om den kopierte inn litt markdown kode med en feil. Men den skal få plussspoeng for å nesten ha klart å dekryptere</t>
  </si>
  <si>
    <t>Skrevet feil i noen navn. Tolket output fra kommandoer feil som har ført til skrivefeil</t>
  </si>
  <si>
    <t>Virket ikke helt som om denne var så god med langkjørende multiagenter. Frøs mer og var mer buggy en native versjoner.</t>
  </si>
  <si>
    <t xml:space="preserve">Denne rapporten var veldig dritt, men underveis virket det som om den forsto mer med svarene den ga da. Så er et eller annent som feiler når den skal lage en rapport. </t>
  </si>
  <si>
    <t>Poenggrenser</t>
  </si>
  <si>
    <t>God</t>
  </si>
  <si>
    <t>Grei</t>
  </si>
  <si>
    <t>Svak</t>
  </si>
  <si>
    <t>Dårlig</t>
  </si>
  <si>
    <t>0-7</t>
  </si>
  <si>
    <t>Detaljert skill</t>
  </si>
  <si>
    <t>Konsis skill</t>
  </si>
  <si>
    <t>Dynamiske subagenter</t>
  </si>
  <si>
    <t>Claude Code</t>
  </si>
  <si>
    <t>Vurdering</t>
  </si>
  <si>
    <t>Vekt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</si>
</sst>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rial"/>
      <family val="2"/>
      <scheme val="minor"/>
    </font>
    <font>
      <sz val="12"/>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2"/>
      <color rgb="FF006100"/>
      <name val="Arial"/>
      <family val="2"/>
      <scheme val="minor"/>
    </font>
    <font>
      <sz val="12"/>
      <color rgb="FF9C0006"/>
      <name val="Arial"/>
      <family val="2"/>
      <scheme val="minor"/>
    </font>
    <font>
      <sz val="12"/>
      <color rgb="FF9C5700"/>
      <name val="Arial"/>
      <family val="2"/>
      <scheme val="minor"/>
    </font>
    <font>
      <sz val="12"/>
      <color rgb="FF3F3F76"/>
      <name val="Arial"/>
      <family val="2"/>
      <scheme val="minor"/>
    </font>
    <font>
      <b/>
      <sz val="12"/>
      <color rgb="FF3F3F3F"/>
      <name val="Arial"/>
      <family val="2"/>
      <scheme val="minor"/>
    </font>
    <font>
      <b/>
      <sz val="12"/>
      <color rgb="FFFA7D00"/>
      <name val="Arial"/>
      <family val="2"/>
      <scheme val="minor"/>
    </font>
    <font>
      <sz val="12"/>
      <color rgb="FFFA7D00"/>
      <name val="Arial"/>
      <family val="2"/>
      <scheme val="minor"/>
    </font>
    <font>
      <b/>
      <sz val="12"/>
      <color theme="0"/>
      <name val="Arial"/>
      <family val="2"/>
      <scheme val="minor"/>
    </font>
    <font>
      <sz val="12"/>
      <color rgb="FFFF0000"/>
      <name val="Arial"/>
      <family val="2"/>
      <scheme val="minor"/>
    </font>
    <font>
      <i/>
      <sz val="12"/>
      <color rgb="FF7F7F7F"/>
      <name val="Arial"/>
      <family val="2"/>
      <scheme val="minor"/>
    </font>
    <font>
      <b/>
      <sz val="12"/>
      <color theme="1"/>
      <name val="Arial"/>
      <family val="2"/>
      <scheme val="minor"/>
    </font>
    <font>
      <sz val="12"/>
      <color theme="0"/>
      <name val="Arial"/>
      <family val="2"/>
      <scheme val="minor"/>
    </font>
    <font>
      <b/>
      <sz val="14"/>
      <color theme="1"/>
      <name val="Arial"/>
      <family val="2"/>
      <scheme val="minor"/>
    </font>
    <font>
      <i/>
      <sz val="12"/>
      <color theme="1"/>
      <name val="Arial"/>
      <family val="2"/>
      <scheme val="minor"/>
    </font>
    <font>
      <b/>
      <sz val="16"/>
      <color theme="1"/>
      <name val="Arial"/>
      <family val="2"/>
      <scheme val="minor"/>
    </font>
    <font>
      <sz val="11"/>
      <color theme="1"/>
      <name val="Arial"/>
      <family val="2"/>
      <scheme val="minor"/>
    </font>
    <font>
      <b/>
      <i/>
      <sz val="12"/>
      <color theme="1"/>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0" xfId="0" applyAlignment="1">
      <alignment wrapText="1"/>
    </xf>
    <xf numFmtId="0" fontId="18" fillId="0" borderId="0" xfId="0" applyFont="1" applyAlignment="1">
      <alignment wrapText="1"/>
    </xf>
    <xf numFmtId="2" fontId="0" fillId="0" borderId="0" xfId="0" applyNumberFormat="1"/>
    <xf numFmtId="0" fontId="19" fillId="0" borderId="0" xfId="0" applyFont="1" applyAlignment="1">
      <alignment horizontal="center" vertical="center"/>
    </xf>
    <xf numFmtId="0" fontId="0" fillId="0" borderId="10" xfId="0" applyBorder="1"/>
    <xf numFmtId="0" fontId="0" fillId="0" borderId="0" xfId="0" applyBorder="1"/>
    <xf numFmtId="0" fontId="19" fillId="0" borderId="10" xfId="0" applyFont="1" applyBorder="1" applyAlignment="1">
      <alignment horizontal="center" vertical="center"/>
    </xf>
    <xf numFmtId="2" fontId="0" fillId="0" borderId="10" xfId="0" applyNumberFormat="1" applyBorder="1"/>
    <xf numFmtId="0" fontId="0" fillId="0" borderId="11" xfId="0" applyBorder="1"/>
    <xf numFmtId="0" fontId="19" fillId="0" borderId="11" xfId="0" applyFont="1" applyBorder="1" applyAlignment="1">
      <alignment horizontal="center" vertical="center"/>
    </xf>
    <xf numFmtId="0" fontId="18" fillId="0" borderId="10" xfId="0" applyFont="1" applyBorder="1" applyAlignment="1">
      <alignment horizontal="center"/>
    </xf>
    <xf numFmtId="0" fontId="18" fillId="0" borderId="11" xfId="0" applyFont="1" applyBorder="1" applyAlignment="1">
      <alignment horizontal="center"/>
    </xf>
    <xf numFmtId="2" fontId="22" fillId="0" borderId="11" xfId="0" applyNumberFormat="1" applyFont="1" applyBorder="1"/>
    <xf numFmtId="0" fontId="18" fillId="0" borderId="12" xfId="0" applyFont="1" applyBorder="1" applyAlignment="1">
      <alignment horizontal="left" wrapText="1"/>
    </xf>
    <xf numFmtId="0" fontId="18" fillId="0" borderId="13" xfId="0" applyFont="1" applyBorder="1" applyAlignment="1">
      <alignment horizontal="left" wrapText="1"/>
    </xf>
    <xf numFmtId="0" fontId="19" fillId="0" borderId="14" xfId="0" applyFont="1" applyBorder="1" applyAlignment="1">
      <alignment horizontal="center" vertical="center"/>
    </xf>
    <xf numFmtId="0" fontId="19" fillId="0" borderId="13" xfId="0" applyFont="1" applyBorder="1" applyAlignment="1">
      <alignment horizontal="center" vertical="center"/>
    </xf>
    <xf numFmtId="0" fontId="19" fillId="0" borderId="12" xfId="0" applyFont="1" applyBorder="1" applyAlignment="1">
      <alignment horizontal="center" vertical="center"/>
    </xf>
    <xf numFmtId="0" fontId="0" fillId="0" borderId="12" xfId="0" applyBorder="1"/>
    <xf numFmtId="0" fontId="21" fillId="0" borderId="12" xfId="0" applyFont="1" applyBorder="1" applyAlignment="1">
      <alignment wrapText="1"/>
    </xf>
    <xf numFmtId="0" fontId="21" fillId="0" borderId="14" xfId="0" applyFont="1" applyBorder="1" applyAlignment="1">
      <alignment wrapText="1"/>
    </xf>
    <xf numFmtId="0" fontId="21" fillId="0" borderId="13" xfId="0" applyFont="1" applyBorder="1" applyAlignment="1">
      <alignment wrapText="1"/>
    </xf>
    <xf numFmtId="0" fontId="21" fillId="0" borderId="12" xfId="0" applyFont="1" applyBorder="1" applyAlignment="1">
      <alignment wrapText="1"/>
    </xf>
    <xf numFmtId="0" fontId="20" fillId="0" borderId="0" xfId="0" applyFont="1" applyAlignment="1">
      <alignment horizontal="center" vertical="center"/>
    </xf>
    <xf numFmtId="0" fontId="20" fillId="0" borderId="0" xfId="0" applyFont="1" applyAlignment="1">
      <alignment horizontal="center" vertical="center" wrapText="1"/>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0" xfId="0" applyFont="1" applyAlignment="1">
      <alignment horizontal="center" vertical="center"/>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0" xfId="0" applyFont="1" applyAlignment="1">
      <alignment horizontal="center" vertical="center" wrapText="1"/>
    </xf>
    <xf numFmtId="0" fontId="18" fillId="0" borderId="15" xfId="0" applyFont="1" applyBorder="1" applyAlignment="1">
      <alignment horizontal="center" wrapText="1"/>
    </xf>
    <xf numFmtId="0" fontId="0" fillId="0" borderId="15" xfId="0" applyBorder="1" applyAlignment="1">
      <alignment horizontal="left" wrapText="1"/>
    </xf>
    <xf numFmtId="0" fontId="16" fillId="0" borderId="15" xfId="0" applyFont="1" applyBorder="1" applyAlignment="1">
      <alignment horizontal="right" wrapText="1"/>
    </xf>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365BB7"/>
      </a:accent1>
      <a:accent2>
        <a:srgbClr val="E66826"/>
      </a:accent2>
      <a:accent3>
        <a:srgbClr val="949494"/>
      </a:accent3>
      <a:accent4>
        <a:srgbClr val="FDB506"/>
      </a:accent4>
      <a:accent5>
        <a:srgbClr val="4B87CB"/>
      </a:accent5>
      <a:accent6>
        <a:srgbClr val="60A038"/>
      </a:accent6>
      <a:hlink>
        <a:srgbClr val="0B4CB4"/>
      </a:hlink>
      <a:folHlink>
        <a:srgbClr val="0B4CB4"/>
      </a:folHlink>
    </a:clrScheme>
    <a:fontScheme name="Office">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2"/>
  <sheetViews>
    <sheetView tabSelected="1" zoomScale="55" zoomScaleNormal="55" workbookViewId="0">
      <pane xSplit="3" ySplit="3" topLeftCell="D5" activePane="bottomRight" state="frozen"/>
      <selection pane="topRight"/>
      <selection pane="bottomLeft"/>
      <selection pane="bottomRight" activeCell="B58" sqref="B58:C58"/>
    </sheetView>
  </sheetViews>
  <sheetFormatPr baseColWidth="10" defaultColWidth="13.5546875" defaultRowHeight="15" x14ac:dyDescent="0.2"/>
  <cols>
    <col min="1" max="1" width="6" bestFit="1" customWidth="1"/>
    <col min="2" max="2" width="31.5546875" style="1" customWidth="1"/>
    <col min="3" max="3" width="28.88671875" style="1" bestFit="1" customWidth="1"/>
    <col min="4" max="4" width="7.33203125" style="5" customWidth="1"/>
    <col min="5" max="5" width="7.33203125" style="9" customWidth="1"/>
    <col min="6" max="6" width="7.33203125" customWidth="1"/>
    <col min="7" max="7" width="7.33203125" style="9" customWidth="1"/>
    <col min="8" max="8" width="7.33203125" customWidth="1"/>
    <col min="9" max="9" width="7.33203125" style="9" customWidth="1"/>
    <col min="10" max="10" width="7.33203125" customWidth="1"/>
    <col min="11" max="11" width="7.33203125" style="9" customWidth="1"/>
    <col min="12" max="12" width="7.33203125" customWidth="1"/>
    <col min="13" max="13" width="7.33203125" style="9" customWidth="1"/>
    <col min="14" max="14" width="7.33203125" customWidth="1"/>
    <col min="15" max="15" width="7.33203125" style="9" customWidth="1"/>
    <col min="16" max="16" width="7.33203125" customWidth="1"/>
    <col min="17" max="17" width="7.33203125" style="9" customWidth="1"/>
    <col min="18" max="18" width="7.33203125" customWidth="1"/>
    <col min="19" max="19" width="7.33203125" style="9" customWidth="1"/>
    <col min="20" max="20" width="7.33203125" customWidth="1"/>
    <col min="21" max="21" width="7.33203125" style="9" customWidth="1"/>
    <col min="22" max="22" width="7.33203125" customWidth="1"/>
    <col min="23" max="23" width="7.33203125" style="9" customWidth="1"/>
    <col min="24" max="24" width="7.33203125" customWidth="1"/>
    <col min="25" max="25" width="7.33203125" style="9" customWidth="1"/>
    <col min="26" max="26" width="7.33203125" customWidth="1"/>
    <col min="27" max="27" width="7.33203125" style="9" customWidth="1"/>
    <col min="28" max="28" width="7.33203125" customWidth="1"/>
    <col min="29" max="29" width="7.33203125" style="9" customWidth="1"/>
    <col min="30" max="30" width="7.33203125" customWidth="1"/>
    <col min="31" max="31" width="7.33203125" style="9" customWidth="1"/>
    <col min="32" max="32" width="7.33203125" customWidth="1"/>
    <col min="33" max="33" width="7.33203125" style="9" customWidth="1"/>
    <col min="34" max="34" width="7.33203125" customWidth="1"/>
    <col min="35" max="35" width="7.33203125" style="9" customWidth="1"/>
    <col min="36" max="36" width="7.33203125" customWidth="1"/>
    <col min="37" max="37" width="7.33203125" style="9" customWidth="1"/>
    <col min="38" max="38" width="7.33203125" customWidth="1"/>
    <col min="39" max="39" width="7.33203125" style="9" customWidth="1"/>
    <col min="40" max="79" width="13.5546875" customWidth="1"/>
  </cols>
  <sheetData>
    <row r="1" spans="1:39" x14ac:dyDescent="0.2">
      <c r="G1" s="6"/>
      <c r="I1" s="6"/>
      <c r="K1" s="6"/>
      <c r="M1" s="6"/>
      <c r="O1" s="6"/>
      <c r="Q1" s="6"/>
      <c r="S1" s="6"/>
      <c r="U1" s="6"/>
      <c r="W1" s="6"/>
      <c r="Y1" s="6"/>
      <c r="AA1" s="6"/>
      <c r="AC1" s="6"/>
      <c r="AE1" s="6"/>
      <c r="AG1" s="6"/>
      <c r="AI1" s="6"/>
      <c r="AK1" s="6"/>
      <c r="AM1" s="6"/>
    </row>
    <row r="2" spans="1:39" s="24" customFormat="1" ht="20.25" x14ac:dyDescent="0.2">
      <c r="B2" s="25"/>
      <c r="C2" s="25"/>
      <c r="D2" s="26" t="s">
        <v>0</v>
      </c>
      <c r="E2" s="27"/>
      <c r="F2" s="28" t="s">
        <v>0</v>
      </c>
      <c r="G2" s="28"/>
      <c r="H2" s="28" t="s">
        <v>0</v>
      </c>
      <c r="I2" s="28"/>
      <c r="J2" s="28" t="s">
        <v>0</v>
      </c>
      <c r="K2" s="28"/>
      <c r="L2" s="28" t="s">
        <v>0</v>
      </c>
      <c r="M2" s="28"/>
      <c r="N2" s="28" t="s">
        <v>0</v>
      </c>
      <c r="O2" s="28"/>
      <c r="P2" s="28" t="s">
        <v>0</v>
      </c>
      <c r="Q2" s="28"/>
      <c r="R2" s="28" t="s">
        <v>0</v>
      </c>
      <c r="S2" s="28"/>
      <c r="T2" s="28" t="s">
        <v>0</v>
      </c>
      <c r="U2" s="28"/>
      <c r="V2" s="28" t="s">
        <v>1</v>
      </c>
      <c r="W2" s="28"/>
      <c r="X2" s="28" t="s">
        <v>1</v>
      </c>
      <c r="Y2" s="28"/>
      <c r="Z2" s="28" t="s">
        <v>1</v>
      </c>
      <c r="AA2" s="28"/>
      <c r="AB2" s="28" t="s">
        <v>1</v>
      </c>
      <c r="AC2" s="28"/>
      <c r="AD2" s="28" t="s">
        <v>1</v>
      </c>
      <c r="AE2" s="28"/>
      <c r="AF2" s="28" t="s">
        <v>1</v>
      </c>
      <c r="AG2" s="28"/>
      <c r="AH2" s="28" t="s">
        <v>1</v>
      </c>
      <c r="AI2" s="28"/>
      <c r="AJ2" s="28" t="s">
        <v>1</v>
      </c>
      <c r="AK2" s="28"/>
      <c r="AL2" s="28" t="s">
        <v>1</v>
      </c>
      <c r="AM2" s="28"/>
    </row>
    <row r="3" spans="1:39" s="25" customFormat="1" ht="42.75" customHeight="1" x14ac:dyDescent="0.2">
      <c r="A3" s="25" t="s">
        <v>95</v>
      </c>
      <c r="B3" s="25" t="s">
        <v>2</v>
      </c>
      <c r="C3" s="25" t="s">
        <v>3</v>
      </c>
      <c r="D3" s="29" t="s">
        <v>4</v>
      </c>
      <c r="E3" s="30"/>
      <c r="F3" s="31" t="s">
        <v>5</v>
      </c>
      <c r="G3" s="31"/>
      <c r="H3" s="31" t="s">
        <v>6</v>
      </c>
      <c r="I3" s="31"/>
      <c r="J3" s="31" t="s">
        <v>7</v>
      </c>
      <c r="K3" s="31"/>
      <c r="L3" s="31" t="s">
        <v>90</v>
      </c>
      <c r="M3" s="31"/>
      <c r="N3" s="31" t="s">
        <v>91</v>
      </c>
      <c r="O3" s="31"/>
      <c r="P3" s="31" t="s">
        <v>8</v>
      </c>
      <c r="Q3" s="31"/>
      <c r="R3" s="31" t="s">
        <v>92</v>
      </c>
      <c r="S3" s="31"/>
      <c r="T3" s="31" t="s">
        <v>93</v>
      </c>
      <c r="U3" s="31"/>
      <c r="V3" s="29" t="s">
        <v>4</v>
      </c>
      <c r="W3" s="30"/>
      <c r="X3" s="31" t="s">
        <v>5</v>
      </c>
      <c r="Y3" s="31"/>
      <c r="Z3" s="31" t="s">
        <v>6</v>
      </c>
      <c r="AA3" s="31"/>
      <c r="AB3" s="31" t="s">
        <v>7</v>
      </c>
      <c r="AC3" s="31"/>
      <c r="AD3" s="31" t="s">
        <v>90</v>
      </c>
      <c r="AE3" s="31"/>
      <c r="AF3" s="31" t="s">
        <v>91</v>
      </c>
      <c r="AG3" s="31"/>
      <c r="AH3" s="31" t="s">
        <v>8</v>
      </c>
      <c r="AI3" s="31"/>
      <c r="AJ3" s="31" t="s">
        <v>92</v>
      </c>
      <c r="AK3" s="31"/>
      <c r="AL3" s="31" t="s">
        <v>9</v>
      </c>
      <c r="AM3" s="31"/>
    </row>
    <row r="4" spans="1:39" x14ac:dyDescent="0.2">
      <c r="D4" s="5" t="s">
        <v>10</v>
      </c>
      <c r="E4" s="9" t="s">
        <v>11</v>
      </c>
      <c r="F4" t="s">
        <v>10</v>
      </c>
      <c r="G4" s="9" t="s">
        <v>11</v>
      </c>
      <c r="H4" t="s">
        <v>10</v>
      </c>
      <c r="I4" s="9" t="s">
        <v>11</v>
      </c>
      <c r="J4" t="s">
        <v>10</v>
      </c>
      <c r="K4" s="9" t="s">
        <v>11</v>
      </c>
      <c r="L4" t="s">
        <v>10</v>
      </c>
      <c r="M4" s="9" t="s">
        <v>11</v>
      </c>
      <c r="N4" t="s">
        <v>10</v>
      </c>
      <c r="O4" s="9" t="s">
        <v>11</v>
      </c>
      <c r="P4" t="s">
        <v>10</v>
      </c>
      <c r="Q4" s="9" t="s">
        <v>11</v>
      </c>
      <c r="R4" t="s">
        <v>10</v>
      </c>
      <c r="S4" s="9" t="s">
        <v>11</v>
      </c>
      <c r="T4" t="s">
        <v>10</v>
      </c>
      <c r="U4" s="9" t="s">
        <v>11</v>
      </c>
      <c r="V4" t="s">
        <v>10</v>
      </c>
      <c r="W4" s="9" t="s">
        <v>11</v>
      </c>
      <c r="X4" t="s">
        <v>10</v>
      </c>
      <c r="Y4" s="9" t="s">
        <v>11</v>
      </c>
      <c r="Z4" t="s">
        <v>10</v>
      </c>
      <c r="AA4" s="9" t="s">
        <v>11</v>
      </c>
      <c r="AB4" t="s">
        <v>10</v>
      </c>
      <c r="AC4" s="9" t="s">
        <v>11</v>
      </c>
      <c r="AD4" t="s">
        <v>10</v>
      </c>
      <c r="AE4" s="9" t="s">
        <v>11</v>
      </c>
      <c r="AF4" t="s">
        <v>10</v>
      </c>
      <c r="AG4" s="9" t="s">
        <v>11</v>
      </c>
      <c r="AH4" t="s">
        <v>10</v>
      </c>
      <c r="AI4" s="9" t="s">
        <v>11</v>
      </c>
      <c r="AJ4" t="s">
        <v>10</v>
      </c>
      <c r="AK4" s="9" t="s">
        <v>11</v>
      </c>
      <c r="AL4" t="s">
        <v>10</v>
      </c>
      <c r="AM4" s="9" t="s">
        <v>11</v>
      </c>
    </row>
    <row r="5" spans="1:39" s="19" customFormat="1" ht="18" x14ac:dyDescent="0.25">
      <c r="A5" s="14" t="s">
        <v>12</v>
      </c>
      <c r="B5" s="14"/>
      <c r="C5" s="15"/>
      <c r="D5" s="16"/>
      <c r="E5" s="17"/>
      <c r="F5" s="18"/>
      <c r="G5" s="17"/>
      <c r="H5" s="18"/>
      <c r="I5" s="17"/>
      <c r="J5" s="18"/>
      <c r="K5" s="17"/>
      <c r="L5" s="18"/>
      <c r="M5" s="17"/>
      <c r="N5" s="18"/>
      <c r="O5" s="17"/>
      <c r="P5" s="18"/>
      <c r="Q5" s="17"/>
      <c r="R5" s="18"/>
      <c r="S5" s="17"/>
      <c r="T5" s="18"/>
      <c r="U5" s="17"/>
      <c r="V5" s="18"/>
      <c r="W5" s="17"/>
      <c r="X5" s="18"/>
      <c r="Y5" s="17"/>
      <c r="Z5" s="18"/>
      <c r="AA5" s="17"/>
      <c r="AB5" s="18"/>
      <c r="AC5" s="17"/>
      <c r="AD5" s="18"/>
      <c r="AE5" s="17"/>
      <c r="AF5" s="18"/>
      <c r="AG5" s="17"/>
      <c r="AH5" s="18"/>
      <c r="AI5" s="17"/>
      <c r="AJ5" s="18"/>
      <c r="AK5" s="17"/>
      <c r="AL5" s="18"/>
      <c r="AM5" s="17"/>
    </row>
    <row r="6" spans="1:39" x14ac:dyDescent="0.2">
      <c r="A6">
        <v>1</v>
      </c>
      <c r="B6" s="1" t="s">
        <v>13</v>
      </c>
      <c r="C6" s="1" t="s">
        <v>14</v>
      </c>
      <c r="D6" s="7"/>
      <c r="E6" s="10"/>
      <c r="F6" s="4"/>
      <c r="G6" s="10"/>
      <c r="H6" s="4"/>
      <c r="I6" s="10"/>
      <c r="J6" s="4"/>
      <c r="K6" s="10"/>
      <c r="L6" s="4"/>
      <c r="M6" s="10"/>
      <c r="N6" s="4"/>
      <c r="O6" s="10"/>
      <c r="P6" s="4"/>
      <c r="Q6" s="10"/>
      <c r="R6" s="4"/>
      <c r="S6" s="10"/>
      <c r="T6" s="4" t="s">
        <v>15</v>
      </c>
      <c r="U6" s="10"/>
      <c r="V6" s="4"/>
      <c r="W6" s="10"/>
      <c r="X6" s="4" t="s">
        <v>15</v>
      </c>
      <c r="Y6" s="10"/>
      <c r="Z6" s="4"/>
      <c r="AA6" s="10"/>
      <c r="AB6" s="4"/>
      <c r="AC6" s="10"/>
      <c r="AD6" s="4"/>
      <c r="AE6" s="10"/>
      <c r="AF6" s="4"/>
      <c r="AG6" s="10"/>
      <c r="AH6" s="4"/>
      <c r="AI6" s="10"/>
      <c r="AJ6" s="4"/>
      <c r="AK6" s="10"/>
      <c r="AL6" s="4"/>
      <c r="AM6" s="10"/>
    </row>
    <row r="7" spans="1:39" x14ac:dyDescent="0.2">
      <c r="A7">
        <v>1</v>
      </c>
      <c r="B7" s="1" t="s">
        <v>16</v>
      </c>
      <c r="C7" s="1" t="s">
        <v>14</v>
      </c>
      <c r="D7" s="7"/>
      <c r="E7" s="10"/>
      <c r="F7" s="4"/>
      <c r="G7" s="10"/>
      <c r="H7" s="4"/>
      <c r="I7" s="10"/>
      <c r="J7" s="4"/>
      <c r="K7" s="10"/>
      <c r="L7" s="4" t="s">
        <v>15</v>
      </c>
      <c r="M7" s="10"/>
      <c r="N7" s="4"/>
      <c r="O7" s="10"/>
      <c r="P7" s="4"/>
      <c r="Q7" s="10"/>
      <c r="R7" s="4"/>
      <c r="S7" s="10"/>
      <c r="T7" s="4"/>
      <c r="U7" s="10"/>
      <c r="V7" s="4"/>
      <c r="W7" s="10"/>
      <c r="X7" s="4"/>
      <c r="Y7" s="10"/>
      <c r="Z7" s="4"/>
      <c r="AA7" s="10"/>
      <c r="AB7" s="4"/>
      <c r="AC7" s="10"/>
      <c r="AD7" s="4"/>
      <c r="AE7" s="10"/>
      <c r="AF7" s="4"/>
      <c r="AG7" s="10"/>
      <c r="AH7" s="4"/>
      <c r="AI7" s="10"/>
      <c r="AJ7" s="4"/>
      <c r="AK7" s="10"/>
      <c r="AL7" s="4"/>
      <c r="AM7" s="10"/>
    </row>
    <row r="8" spans="1:39" ht="30" x14ac:dyDescent="0.2">
      <c r="A8">
        <v>4</v>
      </c>
      <c r="B8" s="1" t="s">
        <v>17</v>
      </c>
      <c r="C8" s="1" t="s">
        <v>18</v>
      </c>
      <c r="D8" s="7" t="s">
        <v>15</v>
      </c>
      <c r="E8" s="10" t="s">
        <v>15</v>
      </c>
      <c r="F8" s="4" t="s">
        <v>15</v>
      </c>
      <c r="G8" s="10" t="s">
        <v>15</v>
      </c>
      <c r="H8" s="4"/>
      <c r="I8" s="10"/>
      <c r="J8" s="4" t="s">
        <v>15</v>
      </c>
      <c r="K8" s="10" t="s">
        <v>15</v>
      </c>
      <c r="L8" s="4" t="s">
        <v>15</v>
      </c>
      <c r="M8" s="10" t="s">
        <v>15</v>
      </c>
      <c r="N8" s="4" t="s">
        <v>15</v>
      </c>
      <c r="O8" s="10" t="s">
        <v>15</v>
      </c>
      <c r="P8" s="4" t="s">
        <v>15</v>
      </c>
      <c r="Q8" s="10" t="s">
        <v>15</v>
      </c>
      <c r="R8" s="4" t="s">
        <v>15</v>
      </c>
      <c r="S8" s="10" t="s">
        <v>15</v>
      </c>
      <c r="T8" s="4" t="s">
        <v>15</v>
      </c>
      <c r="U8" s="10" t="s">
        <v>15</v>
      </c>
      <c r="V8" s="4" t="s">
        <v>15</v>
      </c>
      <c r="W8" s="10" t="s">
        <v>15</v>
      </c>
      <c r="X8" s="4" t="s">
        <v>15</v>
      </c>
      <c r="Y8" s="10" t="s">
        <v>15</v>
      </c>
      <c r="Z8" s="4"/>
      <c r="AA8" s="10"/>
      <c r="AB8" s="4" t="s">
        <v>15</v>
      </c>
      <c r="AC8" s="10" t="s">
        <v>15</v>
      </c>
      <c r="AD8" s="4" t="s">
        <v>15</v>
      </c>
      <c r="AE8" s="10" t="s">
        <v>15</v>
      </c>
      <c r="AF8" s="4" t="s">
        <v>15</v>
      </c>
      <c r="AG8" s="10" t="s">
        <v>15</v>
      </c>
      <c r="AH8" s="4" t="s">
        <v>15</v>
      </c>
      <c r="AI8" s="10" t="s">
        <v>15</v>
      </c>
      <c r="AJ8" s="4" t="s">
        <v>15</v>
      </c>
      <c r="AK8" s="10" t="s">
        <v>15</v>
      </c>
      <c r="AL8" s="4" t="s">
        <v>15</v>
      </c>
      <c r="AM8" s="10" t="s">
        <v>15</v>
      </c>
    </row>
    <row r="9" spans="1:39" x14ac:dyDescent="0.2">
      <c r="A9" s="3">
        <f>10/3</f>
        <v>3.3333333333333335</v>
      </c>
      <c r="B9" s="1" t="s">
        <v>19</v>
      </c>
      <c r="C9" s="1" t="s">
        <v>20</v>
      </c>
      <c r="D9" s="7" t="s">
        <v>15</v>
      </c>
      <c r="E9" s="10" t="s">
        <v>15</v>
      </c>
      <c r="F9" s="4" t="s">
        <v>15</v>
      </c>
      <c r="G9" s="10" t="s">
        <v>15</v>
      </c>
      <c r="H9" s="4"/>
      <c r="I9" s="10"/>
      <c r="J9" s="4" t="s">
        <v>15</v>
      </c>
      <c r="K9" s="10" t="s">
        <v>15</v>
      </c>
      <c r="L9" s="4"/>
      <c r="M9" s="10"/>
      <c r="N9" s="4" t="s">
        <v>15</v>
      </c>
      <c r="O9" s="10" t="s">
        <v>15</v>
      </c>
      <c r="P9" s="4" t="s">
        <v>15</v>
      </c>
      <c r="Q9" s="10" t="s">
        <v>15</v>
      </c>
      <c r="R9" s="4" t="s">
        <v>15</v>
      </c>
      <c r="S9" s="10" t="s">
        <v>15</v>
      </c>
      <c r="T9" s="4" t="s">
        <v>15</v>
      </c>
      <c r="U9" s="10" t="s">
        <v>15</v>
      </c>
      <c r="V9" s="4" t="s">
        <v>15</v>
      </c>
      <c r="W9" s="10"/>
      <c r="X9" s="4" t="s">
        <v>15</v>
      </c>
      <c r="Y9" s="10" t="s">
        <v>15</v>
      </c>
      <c r="Z9" s="4"/>
      <c r="AA9" s="10"/>
      <c r="AB9" s="4" t="s">
        <v>15</v>
      </c>
      <c r="AC9" s="10"/>
      <c r="AD9" s="4"/>
      <c r="AE9" s="10"/>
      <c r="AF9" s="4"/>
      <c r="AG9" s="10"/>
      <c r="AH9" s="4"/>
      <c r="AI9" s="10"/>
      <c r="AJ9" s="4"/>
      <c r="AK9" s="10"/>
      <c r="AL9" s="4"/>
      <c r="AM9" s="10"/>
    </row>
    <row r="10" spans="1:39" x14ac:dyDescent="0.2">
      <c r="A10">
        <v>1</v>
      </c>
      <c r="B10" s="1" t="s">
        <v>21</v>
      </c>
      <c r="C10" s="1" t="s">
        <v>22</v>
      </c>
      <c r="D10" s="7" t="s">
        <v>15</v>
      </c>
      <c r="E10" s="10"/>
      <c r="F10" s="4"/>
      <c r="G10" s="10"/>
      <c r="H10" s="4"/>
      <c r="I10" s="10"/>
      <c r="J10" s="4" t="s">
        <v>15</v>
      </c>
      <c r="K10" s="10"/>
      <c r="L10" s="4" t="s">
        <v>15</v>
      </c>
      <c r="M10" s="10"/>
      <c r="N10" s="4" t="s">
        <v>15</v>
      </c>
      <c r="O10" s="10"/>
      <c r="P10" s="4" t="s">
        <v>15</v>
      </c>
      <c r="Q10" s="10"/>
      <c r="R10" s="4"/>
      <c r="S10" s="10"/>
      <c r="T10" s="4" t="s">
        <v>15</v>
      </c>
      <c r="U10" s="10"/>
      <c r="V10" s="4"/>
      <c r="W10" s="10"/>
      <c r="X10" s="4"/>
      <c r="Y10" s="10"/>
      <c r="Z10" s="4"/>
      <c r="AA10" s="10"/>
      <c r="AB10" s="4"/>
      <c r="AC10" s="10"/>
      <c r="AD10" s="4"/>
      <c r="AE10" s="10"/>
      <c r="AF10" s="4"/>
      <c r="AG10" s="10"/>
      <c r="AH10" s="4"/>
      <c r="AI10" s="10"/>
      <c r="AJ10" s="4"/>
      <c r="AK10" s="10"/>
      <c r="AL10" s="4"/>
      <c r="AM10" s="10"/>
    </row>
    <row r="11" spans="1:39" s="19" customFormat="1" ht="18" x14ac:dyDescent="0.25">
      <c r="A11" s="14" t="s">
        <v>23</v>
      </c>
      <c r="B11" s="14"/>
      <c r="C11" s="15"/>
      <c r="D11" s="16"/>
      <c r="E11" s="17"/>
      <c r="F11" s="18"/>
      <c r="G11" s="17"/>
      <c r="H11" s="18"/>
      <c r="I11" s="17"/>
      <c r="J11" s="18"/>
      <c r="K11" s="17"/>
      <c r="L11" s="18"/>
      <c r="M11" s="17"/>
      <c r="N11" s="18"/>
      <c r="O11" s="17"/>
      <c r="P11" s="18"/>
      <c r="Q11" s="17"/>
      <c r="R11" s="18"/>
      <c r="S11" s="17"/>
      <c r="T11" s="18"/>
      <c r="U11" s="17"/>
      <c r="V11" s="18"/>
      <c r="W11" s="17"/>
      <c r="X11" s="18"/>
      <c r="Y11" s="17"/>
      <c r="Z11" s="18"/>
      <c r="AA11" s="17"/>
      <c r="AB11" s="18"/>
      <c r="AC11" s="17"/>
      <c r="AD11" s="18"/>
      <c r="AE11" s="17"/>
      <c r="AF11" s="18"/>
      <c r="AG11" s="17"/>
      <c r="AH11" s="18"/>
      <c r="AI11" s="17"/>
      <c r="AJ11" s="18"/>
      <c r="AK11" s="17"/>
      <c r="AL11" s="18"/>
      <c r="AM11" s="17"/>
    </row>
    <row r="12" spans="1:39" ht="30" x14ac:dyDescent="0.2">
      <c r="A12">
        <v>4</v>
      </c>
      <c r="B12" s="1" t="s">
        <v>24</v>
      </c>
      <c r="C12" s="1" t="s">
        <v>25</v>
      </c>
      <c r="D12" s="7" t="s">
        <v>15</v>
      </c>
      <c r="E12" s="10" t="s">
        <v>15</v>
      </c>
      <c r="F12" s="4" t="s">
        <v>15</v>
      </c>
      <c r="G12" s="10" t="s">
        <v>15</v>
      </c>
      <c r="H12" s="4" t="s">
        <v>15</v>
      </c>
      <c r="I12" s="10"/>
      <c r="J12" s="4" t="s">
        <v>15</v>
      </c>
      <c r="K12" s="10" t="s">
        <v>15</v>
      </c>
      <c r="L12" s="4" t="s">
        <v>15</v>
      </c>
      <c r="M12" s="10" t="s">
        <v>15</v>
      </c>
      <c r="N12" s="4" t="s">
        <v>15</v>
      </c>
      <c r="O12" s="10" t="s">
        <v>15</v>
      </c>
      <c r="P12" s="4" t="s">
        <v>15</v>
      </c>
      <c r="Q12" s="10" t="s">
        <v>15</v>
      </c>
      <c r="R12" s="4" t="s">
        <v>15</v>
      </c>
      <c r="S12" s="10" t="s">
        <v>15</v>
      </c>
      <c r="T12" s="4" t="s">
        <v>15</v>
      </c>
      <c r="U12" s="10" t="s">
        <v>15</v>
      </c>
      <c r="V12" s="4" t="s">
        <v>15</v>
      </c>
      <c r="W12" s="10" t="s">
        <v>15</v>
      </c>
      <c r="X12" s="4" t="s">
        <v>15</v>
      </c>
      <c r="Y12" s="10"/>
      <c r="Z12" s="4" t="s">
        <v>15</v>
      </c>
      <c r="AA12" s="10"/>
      <c r="AB12" s="4" t="s">
        <v>15</v>
      </c>
      <c r="AC12" s="10" t="s">
        <v>15</v>
      </c>
      <c r="AD12" s="4" t="s">
        <v>15</v>
      </c>
      <c r="AE12" s="10" t="s">
        <v>15</v>
      </c>
      <c r="AF12" s="4" t="s">
        <v>15</v>
      </c>
      <c r="AG12" s="10" t="s">
        <v>15</v>
      </c>
      <c r="AH12" s="4" t="s">
        <v>15</v>
      </c>
      <c r="AI12" s="10" t="s">
        <v>15</v>
      </c>
      <c r="AJ12" s="4" t="s">
        <v>15</v>
      </c>
      <c r="AK12" s="10" t="s">
        <v>15</v>
      </c>
      <c r="AL12" s="4" t="s">
        <v>15</v>
      </c>
      <c r="AM12" s="10"/>
    </row>
    <row r="13" spans="1:39" x14ac:dyDescent="0.2">
      <c r="A13">
        <v>1</v>
      </c>
      <c r="B13" s="1" t="s">
        <v>26</v>
      </c>
      <c r="C13" s="1" t="s">
        <v>25</v>
      </c>
      <c r="D13" s="7"/>
      <c r="E13" s="10"/>
      <c r="F13" s="4"/>
      <c r="G13" s="10"/>
      <c r="H13" s="4" t="s">
        <v>15</v>
      </c>
      <c r="I13" s="10"/>
      <c r="J13" s="4"/>
      <c r="K13" s="10"/>
      <c r="L13" s="4" t="s">
        <v>15</v>
      </c>
      <c r="M13" s="10" t="s">
        <v>15</v>
      </c>
      <c r="N13" s="4" t="s">
        <v>15</v>
      </c>
      <c r="O13" s="10" t="s">
        <v>15</v>
      </c>
      <c r="P13" s="4" t="s">
        <v>15</v>
      </c>
      <c r="Q13" s="10" t="s">
        <v>15</v>
      </c>
      <c r="R13" s="4" t="s">
        <v>15</v>
      </c>
      <c r="S13" s="10" t="s">
        <v>15</v>
      </c>
      <c r="T13" s="4" t="s">
        <v>15</v>
      </c>
      <c r="U13" s="10"/>
      <c r="V13" s="4" t="s">
        <v>15</v>
      </c>
      <c r="W13" s="10"/>
      <c r="X13" s="4"/>
      <c r="Y13" s="10"/>
      <c r="Z13" s="4" t="s">
        <v>15</v>
      </c>
      <c r="AA13" s="10"/>
      <c r="AB13" s="4" t="s">
        <v>15</v>
      </c>
      <c r="AC13" s="10"/>
      <c r="AD13" s="4" t="s">
        <v>15</v>
      </c>
      <c r="AE13" s="10" t="s">
        <v>15</v>
      </c>
      <c r="AF13" s="4" t="s">
        <v>15</v>
      </c>
      <c r="AG13" s="10" t="s">
        <v>15</v>
      </c>
      <c r="AH13" s="4" t="s">
        <v>15</v>
      </c>
      <c r="AI13" s="10" t="s">
        <v>15</v>
      </c>
      <c r="AJ13" s="4" t="s">
        <v>15</v>
      </c>
      <c r="AK13" s="10" t="s">
        <v>15</v>
      </c>
      <c r="AL13" s="4"/>
      <c r="AM13" s="10"/>
    </row>
    <row r="14" spans="1:39" x14ac:dyDescent="0.2">
      <c r="A14">
        <v>1</v>
      </c>
      <c r="B14" s="1" t="s">
        <v>27</v>
      </c>
      <c r="C14" s="1" t="s">
        <v>25</v>
      </c>
      <c r="D14" s="7"/>
      <c r="E14" s="10"/>
      <c r="F14" s="4"/>
      <c r="G14" s="10"/>
      <c r="H14" s="4" t="s">
        <v>15</v>
      </c>
      <c r="I14" s="10"/>
      <c r="J14" s="4" t="s">
        <v>15</v>
      </c>
      <c r="K14" s="10" t="s">
        <v>15</v>
      </c>
      <c r="L14" s="4" t="s">
        <v>15</v>
      </c>
      <c r="M14" s="10" t="s">
        <v>15</v>
      </c>
      <c r="N14" s="4" t="s">
        <v>15</v>
      </c>
      <c r="O14" s="10" t="s">
        <v>15</v>
      </c>
      <c r="P14" s="4" t="s">
        <v>15</v>
      </c>
      <c r="Q14" s="10" t="s">
        <v>15</v>
      </c>
      <c r="R14" s="4" t="s">
        <v>15</v>
      </c>
      <c r="S14" s="10" t="s">
        <v>15</v>
      </c>
      <c r="T14" s="4" t="s">
        <v>15</v>
      </c>
      <c r="U14" s="10"/>
      <c r="V14" s="4" t="s">
        <v>15</v>
      </c>
      <c r="W14" s="10" t="s">
        <v>15</v>
      </c>
      <c r="X14" s="4"/>
      <c r="Y14" s="10"/>
      <c r="Z14" s="4" t="s">
        <v>15</v>
      </c>
      <c r="AA14" s="10"/>
      <c r="AB14" s="4" t="s">
        <v>15</v>
      </c>
      <c r="AC14" s="10"/>
      <c r="AD14" s="4" t="s">
        <v>15</v>
      </c>
      <c r="AE14" s="10"/>
      <c r="AF14" s="4" t="s">
        <v>15</v>
      </c>
      <c r="AG14" s="10" t="s">
        <v>15</v>
      </c>
      <c r="AH14" s="4" t="s">
        <v>15</v>
      </c>
      <c r="AI14" s="10" t="s">
        <v>15</v>
      </c>
      <c r="AJ14" s="4" t="s">
        <v>15</v>
      </c>
      <c r="AK14" s="10" t="s">
        <v>15</v>
      </c>
      <c r="AL14" s="4" t="s">
        <v>15</v>
      </c>
      <c r="AM14" s="10"/>
    </row>
    <row r="15" spans="1:39" x14ac:dyDescent="0.2">
      <c r="A15">
        <v>1</v>
      </c>
      <c r="B15" s="1" t="s">
        <v>28</v>
      </c>
      <c r="C15" s="1" t="s">
        <v>25</v>
      </c>
      <c r="D15" s="7"/>
      <c r="E15" s="10"/>
      <c r="F15" s="4"/>
      <c r="G15" s="10"/>
      <c r="H15" s="4" t="s">
        <v>15</v>
      </c>
      <c r="I15" s="10"/>
      <c r="J15" s="4" t="s">
        <v>15</v>
      </c>
      <c r="K15" s="10" t="s">
        <v>15</v>
      </c>
      <c r="L15" s="4" t="s">
        <v>15</v>
      </c>
      <c r="M15" s="10"/>
      <c r="N15" s="4" t="s">
        <v>15</v>
      </c>
      <c r="O15" s="10" t="s">
        <v>15</v>
      </c>
      <c r="P15" s="4" t="s">
        <v>15</v>
      </c>
      <c r="Q15" s="10" t="s">
        <v>15</v>
      </c>
      <c r="R15" s="4" t="s">
        <v>15</v>
      </c>
      <c r="S15" s="10" t="s">
        <v>15</v>
      </c>
      <c r="T15" s="4" t="s">
        <v>15</v>
      </c>
      <c r="U15" s="10"/>
      <c r="V15" s="4" t="s">
        <v>15</v>
      </c>
      <c r="W15" s="10"/>
      <c r="X15" s="4"/>
      <c r="Y15" s="10"/>
      <c r="Z15" s="4" t="s">
        <v>15</v>
      </c>
      <c r="AA15" s="10"/>
      <c r="AB15" s="4" t="s">
        <v>15</v>
      </c>
      <c r="AC15" s="10"/>
      <c r="AD15" s="4" t="s">
        <v>15</v>
      </c>
      <c r="AE15" s="10"/>
      <c r="AF15" s="4" t="s">
        <v>15</v>
      </c>
      <c r="AG15" s="10" t="s">
        <v>15</v>
      </c>
      <c r="AH15" s="4" t="s">
        <v>15</v>
      </c>
      <c r="AI15" s="10"/>
      <c r="AJ15" s="4" t="s">
        <v>15</v>
      </c>
      <c r="AK15" s="10"/>
      <c r="AL15" s="4"/>
      <c r="AM15" s="10"/>
    </row>
    <row r="16" spans="1:39" x14ac:dyDescent="0.2">
      <c r="A16">
        <v>1</v>
      </c>
      <c r="B16" s="1" t="s">
        <v>29</v>
      </c>
      <c r="C16" s="1" t="s">
        <v>25</v>
      </c>
      <c r="D16" s="7"/>
      <c r="E16" s="10"/>
      <c r="F16" s="4"/>
      <c r="G16" s="10"/>
      <c r="H16" s="4" t="s">
        <v>15</v>
      </c>
      <c r="I16" s="10"/>
      <c r="J16" s="4" t="s">
        <v>15</v>
      </c>
      <c r="K16" s="10"/>
      <c r="L16" s="4" t="s">
        <v>15</v>
      </c>
      <c r="M16" s="10" t="s">
        <v>15</v>
      </c>
      <c r="N16" s="4" t="s">
        <v>15</v>
      </c>
      <c r="O16" s="10" t="s">
        <v>15</v>
      </c>
      <c r="P16" s="4" t="s">
        <v>15</v>
      </c>
      <c r="Q16" s="10" t="s">
        <v>15</v>
      </c>
      <c r="R16" s="4" t="s">
        <v>15</v>
      </c>
      <c r="S16" s="10" t="s">
        <v>15</v>
      </c>
      <c r="T16" s="4" t="s">
        <v>15</v>
      </c>
      <c r="U16" s="10"/>
      <c r="V16" s="4" t="s">
        <v>15</v>
      </c>
      <c r="W16" s="10"/>
      <c r="X16" s="4"/>
      <c r="Y16" s="10"/>
      <c r="Z16" s="4" t="s">
        <v>15</v>
      </c>
      <c r="AA16" s="10"/>
      <c r="AB16" s="4" t="s">
        <v>15</v>
      </c>
      <c r="AC16" s="10"/>
      <c r="AD16" s="4" t="s">
        <v>15</v>
      </c>
      <c r="AE16" s="10"/>
      <c r="AF16" s="4" t="s">
        <v>15</v>
      </c>
      <c r="AG16" s="10" t="s">
        <v>15</v>
      </c>
      <c r="AH16" s="4" t="s">
        <v>15</v>
      </c>
      <c r="AI16" s="10" t="s">
        <v>15</v>
      </c>
      <c r="AJ16" s="4" t="s">
        <v>15</v>
      </c>
      <c r="AK16" s="10" t="s">
        <v>15</v>
      </c>
      <c r="AL16" s="4"/>
      <c r="AM16" s="10"/>
    </row>
    <row r="17" spans="1:39" ht="30" x14ac:dyDescent="0.2">
      <c r="A17">
        <v>2</v>
      </c>
      <c r="B17" s="1" t="s">
        <v>30</v>
      </c>
      <c r="C17" s="1" t="s">
        <v>31</v>
      </c>
      <c r="D17" s="7"/>
      <c r="E17" s="10"/>
      <c r="F17" s="4"/>
      <c r="G17" s="10"/>
      <c r="H17" s="4"/>
      <c r="I17" s="10"/>
      <c r="J17" s="4"/>
      <c r="K17" s="10"/>
      <c r="L17" s="4"/>
      <c r="M17" s="10"/>
      <c r="N17" s="4" t="s">
        <v>15</v>
      </c>
      <c r="O17" s="10" t="s">
        <v>15</v>
      </c>
      <c r="P17" s="4" t="s">
        <v>15</v>
      </c>
      <c r="Q17" s="10" t="s">
        <v>15</v>
      </c>
      <c r="R17" s="4"/>
      <c r="S17" s="10"/>
      <c r="T17" s="4" t="s">
        <v>15</v>
      </c>
      <c r="U17" s="10"/>
      <c r="V17" s="4"/>
      <c r="W17" s="10"/>
      <c r="X17" s="4"/>
      <c r="Y17" s="10"/>
      <c r="Z17" s="4"/>
      <c r="AA17" s="10"/>
      <c r="AB17" s="4"/>
      <c r="AC17" s="10"/>
      <c r="AD17" s="4"/>
      <c r="AE17" s="10"/>
      <c r="AF17" s="4"/>
      <c r="AG17" s="10"/>
      <c r="AH17" s="4" t="s">
        <v>15</v>
      </c>
      <c r="AI17" s="10" t="s">
        <v>15</v>
      </c>
      <c r="AJ17" s="4"/>
      <c r="AK17" s="10"/>
      <c r="AL17" s="4"/>
      <c r="AM17" s="10"/>
    </row>
    <row r="18" spans="1:39" s="19" customFormat="1" ht="18" x14ac:dyDescent="0.25">
      <c r="A18" s="14" t="s">
        <v>32</v>
      </c>
      <c r="B18" s="14"/>
      <c r="C18" s="15"/>
      <c r="D18" s="16"/>
      <c r="E18" s="17"/>
      <c r="F18" s="18"/>
      <c r="G18" s="17"/>
      <c r="H18" s="18"/>
      <c r="I18" s="17"/>
      <c r="J18" s="18"/>
      <c r="K18" s="17"/>
      <c r="L18" s="18"/>
      <c r="M18" s="17"/>
      <c r="N18" s="18"/>
      <c r="O18" s="17"/>
      <c r="P18" s="18"/>
      <c r="Q18" s="17"/>
      <c r="R18" s="18"/>
      <c r="S18" s="17"/>
      <c r="T18" s="18"/>
      <c r="U18" s="17"/>
      <c r="V18" s="18"/>
      <c r="W18" s="17"/>
      <c r="X18" s="18"/>
      <c r="Y18" s="17"/>
      <c r="Z18" s="18"/>
      <c r="AA18" s="17"/>
      <c r="AB18" s="18"/>
      <c r="AC18" s="17"/>
      <c r="AD18" s="18"/>
      <c r="AE18" s="17"/>
      <c r="AF18" s="18"/>
      <c r="AG18" s="17"/>
      <c r="AH18" s="18"/>
      <c r="AI18" s="17"/>
      <c r="AJ18" s="18"/>
      <c r="AK18" s="17"/>
      <c r="AL18" s="18"/>
      <c r="AM18" s="17"/>
    </row>
    <row r="19" spans="1:39" ht="30" x14ac:dyDescent="0.2">
      <c r="A19">
        <v>4</v>
      </c>
      <c r="B19" s="1" t="s">
        <v>33</v>
      </c>
      <c r="C19" s="1" t="s">
        <v>25</v>
      </c>
      <c r="D19" s="7" t="s">
        <v>15</v>
      </c>
      <c r="E19" s="10" t="s">
        <v>15</v>
      </c>
      <c r="F19" s="4" t="s">
        <v>15</v>
      </c>
      <c r="G19" s="10" t="s">
        <v>15</v>
      </c>
      <c r="H19" s="4" t="s">
        <v>15</v>
      </c>
      <c r="I19" s="10"/>
      <c r="J19" s="4" t="s">
        <v>15</v>
      </c>
      <c r="K19" s="10" t="s">
        <v>15</v>
      </c>
      <c r="L19" s="4" t="s">
        <v>15</v>
      </c>
      <c r="M19" s="10" t="s">
        <v>15</v>
      </c>
      <c r="N19" s="4" t="s">
        <v>15</v>
      </c>
      <c r="O19" s="10" t="s">
        <v>15</v>
      </c>
      <c r="P19" s="4" t="s">
        <v>15</v>
      </c>
      <c r="Q19" s="10" t="s">
        <v>15</v>
      </c>
      <c r="R19" s="4" t="s">
        <v>15</v>
      </c>
      <c r="S19" s="10" t="s">
        <v>15</v>
      </c>
      <c r="T19" s="4" t="s">
        <v>15</v>
      </c>
      <c r="U19" s="10" t="s">
        <v>15</v>
      </c>
      <c r="V19" s="4" t="s">
        <v>15</v>
      </c>
      <c r="W19" s="10"/>
      <c r="X19" s="4" t="s">
        <v>15</v>
      </c>
      <c r="Y19" s="10"/>
      <c r="Z19" s="4" t="s">
        <v>15</v>
      </c>
      <c r="AA19" s="10"/>
      <c r="AB19" s="4" t="s">
        <v>15</v>
      </c>
      <c r="AC19" s="10" t="s">
        <v>15</v>
      </c>
      <c r="AD19" s="4" t="s">
        <v>15</v>
      </c>
      <c r="AE19" s="10" t="s">
        <v>15</v>
      </c>
      <c r="AF19" s="4" t="s">
        <v>15</v>
      </c>
      <c r="AG19" s="10" t="s">
        <v>15</v>
      </c>
      <c r="AH19" s="4" t="s">
        <v>15</v>
      </c>
      <c r="AI19" s="10" t="s">
        <v>15</v>
      </c>
      <c r="AJ19" s="4"/>
      <c r="AK19" s="10"/>
      <c r="AL19" s="4" t="s">
        <v>15</v>
      </c>
      <c r="AM19" s="10"/>
    </row>
    <row r="20" spans="1:39" ht="30" x14ac:dyDescent="0.2">
      <c r="A20">
        <v>1</v>
      </c>
      <c r="B20" s="1" t="s">
        <v>34</v>
      </c>
      <c r="C20" s="1" t="s">
        <v>25</v>
      </c>
      <c r="D20" s="7" t="s">
        <v>15</v>
      </c>
      <c r="E20" s="10"/>
      <c r="F20" s="4"/>
      <c r="G20" s="10"/>
      <c r="H20" s="4" t="s">
        <v>15</v>
      </c>
      <c r="I20" s="10"/>
      <c r="J20" s="4" t="s">
        <v>15</v>
      </c>
      <c r="K20" s="10"/>
      <c r="L20" s="4" t="s">
        <v>15</v>
      </c>
      <c r="M20" s="10" t="s">
        <v>15</v>
      </c>
      <c r="N20" s="4" t="s">
        <v>15</v>
      </c>
      <c r="O20" s="10" t="s">
        <v>15</v>
      </c>
      <c r="P20" s="4" t="s">
        <v>15</v>
      </c>
      <c r="Q20" s="10" t="s">
        <v>15</v>
      </c>
      <c r="R20" s="4" t="s">
        <v>15</v>
      </c>
      <c r="S20" s="10" t="s">
        <v>15</v>
      </c>
      <c r="T20" s="4" t="s">
        <v>15</v>
      </c>
      <c r="U20" s="10"/>
      <c r="V20" s="4" t="s">
        <v>15</v>
      </c>
      <c r="W20" s="10"/>
      <c r="X20" s="4"/>
      <c r="Y20" s="10"/>
      <c r="Z20" s="4" t="s">
        <v>15</v>
      </c>
      <c r="AA20" s="10"/>
      <c r="AB20" s="4"/>
      <c r="AC20" s="10"/>
      <c r="AD20" s="4" t="s">
        <v>15</v>
      </c>
      <c r="AE20" s="10"/>
      <c r="AF20" s="4" t="s">
        <v>15</v>
      </c>
      <c r="AG20" s="10" t="s">
        <v>15</v>
      </c>
      <c r="AH20" s="4" t="s">
        <v>15</v>
      </c>
      <c r="AI20" s="10" t="s">
        <v>15</v>
      </c>
      <c r="AJ20" s="4" t="s">
        <v>15</v>
      </c>
      <c r="AK20" s="10"/>
      <c r="AL20" s="4"/>
      <c r="AM20" s="10"/>
    </row>
    <row r="21" spans="1:39" ht="30" x14ac:dyDescent="0.2">
      <c r="A21">
        <v>1</v>
      </c>
      <c r="B21" s="1" t="s">
        <v>35</v>
      </c>
      <c r="C21" s="1" t="s">
        <v>25</v>
      </c>
      <c r="D21" s="7" t="s">
        <v>15</v>
      </c>
      <c r="E21" s="10"/>
      <c r="F21" s="4"/>
      <c r="G21" s="10"/>
      <c r="H21" s="4"/>
      <c r="I21" s="10"/>
      <c r="J21" s="4" t="s">
        <v>15</v>
      </c>
      <c r="K21" s="10"/>
      <c r="L21" s="4" t="s">
        <v>15</v>
      </c>
      <c r="M21" s="10"/>
      <c r="N21" s="4" t="s">
        <v>15</v>
      </c>
      <c r="O21" s="10" t="s">
        <v>15</v>
      </c>
      <c r="P21" s="4" t="s">
        <v>15</v>
      </c>
      <c r="Q21" s="10" t="s">
        <v>15</v>
      </c>
      <c r="R21" s="4" t="s">
        <v>15</v>
      </c>
      <c r="S21" s="10" t="s">
        <v>15</v>
      </c>
      <c r="T21" s="4" t="s">
        <v>15</v>
      </c>
      <c r="U21" s="10"/>
      <c r="V21" s="4"/>
      <c r="W21" s="10"/>
      <c r="X21" s="4"/>
      <c r="Y21" s="10"/>
      <c r="Z21" s="4" t="s">
        <v>15</v>
      </c>
      <c r="AA21" s="10"/>
      <c r="AB21" s="4"/>
      <c r="AC21" s="10"/>
      <c r="AD21" s="4" t="s">
        <v>15</v>
      </c>
      <c r="AE21" s="10"/>
      <c r="AF21" s="4" t="s">
        <v>15</v>
      </c>
      <c r="AG21" s="10"/>
      <c r="AH21" s="4" t="s">
        <v>15</v>
      </c>
      <c r="AI21" s="10" t="s">
        <v>15</v>
      </c>
      <c r="AJ21" s="4"/>
      <c r="AK21" s="10"/>
      <c r="AL21" s="4" t="s">
        <v>15</v>
      </c>
      <c r="AM21" s="10"/>
    </row>
    <row r="22" spans="1:39" ht="30" x14ac:dyDescent="0.2">
      <c r="A22">
        <v>0.5</v>
      </c>
      <c r="B22" s="1" t="s">
        <v>36</v>
      </c>
      <c r="C22" s="1" t="s">
        <v>37</v>
      </c>
      <c r="D22" s="7" t="s">
        <v>15</v>
      </c>
      <c r="E22" s="10"/>
      <c r="F22" s="4"/>
      <c r="G22" s="10"/>
      <c r="H22" s="4"/>
      <c r="I22" s="10"/>
      <c r="J22" s="4"/>
      <c r="K22" s="10"/>
      <c r="L22" s="4" t="s">
        <v>15</v>
      </c>
      <c r="M22" s="10" t="s">
        <v>15</v>
      </c>
      <c r="N22" s="4" t="s">
        <v>15</v>
      </c>
      <c r="O22" s="10" t="s">
        <v>15</v>
      </c>
      <c r="P22" s="4"/>
      <c r="Q22" s="10"/>
      <c r="R22" s="4"/>
      <c r="S22" s="10"/>
      <c r="T22" s="4"/>
      <c r="U22" s="10"/>
      <c r="V22" s="4"/>
      <c r="W22" s="10"/>
      <c r="X22" s="4"/>
      <c r="Y22" s="10"/>
      <c r="Z22" s="4"/>
      <c r="AA22" s="10"/>
      <c r="AB22" s="4"/>
      <c r="AC22" s="10"/>
      <c r="AD22" s="4"/>
      <c r="AE22" s="10"/>
      <c r="AF22" s="4" t="s">
        <v>15</v>
      </c>
      <c r="AG22" s="10"/>
      <c r="AH22" s="4"/>
      <c r="AI22" s="10"/>
      <c r="AJ22" s="4"/>
      <c r="AK22" s="10"/>
      <c r="AL22" s="4"/>
      <c r="AM22" s="10"/>
    </row>
    <row r="23" spans="1:39" ht="30" x14ac:dyDescent="0.2">
      <c r="A23">
        <v>1</v>
      </c>
      <c r="B23" s="1" t="s">
        <v>38</v>
      </c>
      <c r="C23" s="1" t="s">
        <v>31</v>
      </c>
      <c r="D23" s="7"/>
      <c r="E23" s="10"/>
      <c r="F23" s="4"/>
      <c r="G23" s="10"/>
      <c r="H23" s="4"/>
      <c r="I23" s="10"/>
      <c r="J23" s="4"/>
      <c r="K23" s="10"/>
      <c r="L23" s="4" t="s">
        <v>15</v>
      </c>
      <c r="M23" s="10" t="s">
        <v>15</v>
      </c>
      <c r="N23" s="4" t="s">
        <v>15</v>
      </c>
      <c r="O23" s="10" t="s">
        <v>15</v>
      </c>
      <c r="P23" s="4" t="s">
        <v>15</v>
      </c>
      <c r="Q23" s="10" t="s">
        <v>15</v>
      </c>
      <c r="R23" s="4"/>
      <c r="S23" s="10"/>
      <c r="T23" s="4" t="s">
        <v>15</v>
      </c>
      <c r="U23" s="10"/>
      <c r="V23" s="4"/>
      <c r="W23" s="10"/>
      <c r="X23" s="4"/>
      <c r="Y23" s="10"/>
      <c r="Z23" s="4"/>
      <c r="AA23" s="10"/>
      <c r="AB23" s="4"/>
      <c r="AC23" s="10"/>
      <c r="AD23" s="4"/>
      <c r="AE23" s="10"/>
      <c r="AF23" s="4" t="s">
        <v>15</v>
      </c>
      <c r="AG23" s="10" t="s">
        <v>15</v>
      </c>
      <c r="AH23" s="4"/>
      <c r="AI23" s="10"/>
      <c r="AJ23" s="4" t="s">
        <v>15</v>
      </c>
      <c r="AK23" s="10"/>
      <c r="AL23" s="4"/>
      <c r="AM23" s="10"/>
    </row>
    <row r="24" spans="1:39" ht="30" x14ac:dyDescent="0.2">
      <c r="A24">
        <v>1</v>
      </c>
      <c r="B24" s="1" t="s">
        <v>39</v>
      </c>
      <c r="C24" s="1" t="s">
        <v>40</v>
      </c>
      <c r="D24" s="7" t="s">
        <v>15</v>
      </c>
      <c r="E24" s="10" t="s">
        <v>15</v>
      </c>
      <c r="F24" s="4" t="s">
        <v>15</v>
      </c>
      <c r="G24" s="10" t="s">
        <v>15</v>
      </c>
      <c r="H24" s="4" t="s">
        <v>15</v>
      </c>
      <c r="I24" s="10"/>
      <c r="J24" s="4" t="s">
        <v>15</v>
      </c>
      <c r="K24" s="10" t="s">
        <v>15</v>
      </c>
      <c r="L24" s="4" t="s">
        <v>15</v>
      </c>
      <c r="M24" s="10" t="s">
        <v>15</v>
      </c>
      <c r="N24" s="4" t="s">
        <v>15</v>
      </c>
      <c r="O24" s="10" t="s">
        <v>15</v>
      </c>
      <c r="P24" s="4" t="s">
        <v>15</v>
      </c>
      <c r="Q24" s="10" t="s">
        <v>15</v>
      </c>
      <c r="R24" s="4" t="s">
        <v>15</v>
      </c>
      <c r="S24" s="10" t="s">
        <v>15</v>
      </c>
      <c r="T24" s="4" t="s">
        <v>15</v>
      </c>
      <c r="U24" s="10" t="s">
        <v>15</v>
      </c>
      <c r="V24" s="4"/>
      <c r="W24" s="10"/>
      <c r="X24" s="4" t="s">
        <v>15</v>
      </c>
      <c r="Y24" s="10"/>
      <c r="Z24" s="4" t="s">
        <v>15</v>
      </c>
      <c r="AA24" s="10"/>
      <c r="AB24" s="4"/>
      <c r="AC24" s="10"/>
      <c r="AD24" s="4" t="s">
        <v>15</v>
      </c>
      <c r="AE24" s="10" t="s">
        <v>15</v>
      </c>
      <c r="AF24" s="4" t="s">
        <v>15</v>
      </c>
      <c r="AG24" s="10" t="s">
        <v>15</v>
      </c>
      <c r="AH24" s="4" t="s">
        <v>15</v>
      </c>
      <c r="AI24" s="10" t="s">
        <v>15</v>
      </c>
      <c r="AJ24" s="4" t="s">
        <v>15</v>
      </c>
      <c r="AK24" s="10" t="s">
        <v>15</v>
      </c>
      <c r="AL24" s="4"/>
      <c r="AM24" s="10"/>
    </row>
    <row r="25" spans="1:39" ht="30" x14ac:dyDescent="0.2">
      <c r="A25">
        <v>0.5</v>
      </c>
      <c r="B25" s="1" t="s">
        <v>41</v>
      </c>
      <c r="C25" s="1" t="s">
        <v>42</v>
      </c>
      <c r="D25" s="7" t="s">
        <v>15</v>
      </c>
      <c r="E25" s="10" t="s">
        <v>15</v>
      </c>
      <c r="F25" s="4" t="s">
        <v>15</v>
      </c>
      <c r="G25" s="10" t="s">
        <v>15</v>
      </c>
      <c r="H25" s="4"/>
      <c r="I25" s="10"/>
      <c r="J25" s="4" t="s">
        <v>15</v>
      </c>
      <c r="K25" s="10" t="s">
        <v>15</v>
      </c>
      <c r="L25" s="4" t="s">
        <v>15</v>
      </c>
      <c r="M25" s="10" t="s">
        <v>15</v>
      </c>
      <c r="N25" s="4" t="s">
        <v>15</v>
      </c>
      <c r="O25" s="10" t="s">
        <v>15</v>
      </c>
      <c r="P25" s="4" t="s">
        <v>15</v>
      </c>
      <c r="Q25" s="10" t="s">
        <v>15</v>
      </c>
      <c r="R25" s="4" t="s">
        <v>15</v>
      </c>
      <c r="S25" s="10" t="s">
        <v>15</v>
      </c>
      <c r="T25" s="4" t="s">
        <v>15</v>
      </c>
      <c r="U25" s="10" t="s">
        <v>15</v>
      </c>
      <c r="V25" s="4" t="s">
        <v>15</v>
      </c>
      <c r="W25" s="10"/>
      <c r="X25" s="4" t="s">
        <v>15</v>
      </c>
      <c r="Y25" s="10" t="s">
        <v>15</v>
      </c>
      <c r="Z25" s="4"/>
      <c r="AA25" s="10"/>
      <c r="AB25" s="4"/>
      <c r="AC25" s="10"/>
      <c r="AD25" s="4"/>
      <c r="AE25" s="10"/>
      <c r="AF25" s="4" t="s">
        <v>15</v>
      </c>
      <c r="AG25" s="10"/>
      <c r="AH25" s="4" t="s">
        <v>15</v>
      </c>
      <c r="AI25" s="10" t="s">
        <v>15</v>
      </c>
      <c r="AJ25" s="4" t="s">
        <v>15</v>
      </c>
      <c r="AK25" s="10" t="s">
        <v>15</v>
      </c>
      <c r="AL25" s="4"/>
      <c r="AM25" s="10"/>
    </row>
    <row r="26" spans="1:39" x14ac:dyDescent="0.2">
      <c r="A26">
        <v>1</v>
      </c>
      <c r="B26" s="1" t="s">
        <v>43</v>
      </c>
      <c r="C26" s="1" t="s">
        <v>42</v>
      </c>
      <c r="D26" s="7" t="s">
        <v>15</v>
      </c>
      <c r="E26" s="10"/>
      <c r="F26" s="4" t="s">
        <v>15</v>
      </c>
      <c r="G26" s="10" t="s">
        <v>15</v>
      </c>
      <c r="H26" s="4"/>
      <c r="I26" s="10"/>
      <c r="J26" s="4" t="s">
        <v>15</v>
      </c>
      <c r="K26" s="10" t="s">
        <v>15</v>
      </c>
      <c r="L26" s="4" t="s">
        <v>15</v>
      </c>
      <c r="M26" s="10" t="s">
        <v>15</v>
      </c>
      <c r="N26" s="4" t="s">
        <v>15</v>
      </c>
      <c r="O26" s="10" t="s">
        <v>15</v>
      </c>
      <c r="P26" s="4" t="s">
        <v>15</v>
      </c>
      <c r="Q26" s="10" t="s">
        <v>15</v>
      </c>
      <c r="R26" s="4" t="s">
        <v>15</v>
      </c>
      <c r="S26" s="10" t="s">
        <v>15</v>
      </c>
      <c r="T26" s="4" t="s">
        <v>15</v>
      </c>
      <c r="U26" s="10" t="s">
        <v>15</v>
      </c>
      <c r="V26" s="4" t="s">
        <v>15</v>
      </c>
      <c r="W26" s="10"/>
      <c r="X26" s="4" t="s">
        <v>15</v>
      </c>
      <c r="Y26" s="10"/>
      <c r="Z26" s="4"/>
      <c r="AA26" s="10"/>
      <c r="AB26" s="4" t="s">
        <v>15</v>
      </c>
      <c r="AC26" s="10" t="s">
        <v>15</v>
      </c>
      <c r="AD26" s="4"/>
      <c r="AE26" s="10"/>
      <c r="AF26" s="4" t="s">
        <v>15</v>
      </c>
      <c r="AG26" s="10" t="s">
        <v>15</v>
      </c>
      <c r="AH26" s="4" t="s">
        <v>15</v>
      </c>
      <c r="AI26" s="10" t="s">
        <v>15</v>
      </c>
      <c r="AJ26" s="4" t="s">
        <v>15</v>
      </c>
      <c r="AK26" s="10" t="s">
        <v>15</v>
      </c>
      <c r="AL26" s="4"/>
      <c r="AM26" s="10"/>
    </row>
    <row r="27" spans="1:39" s="19" customFormat="1" ht="18" x14ac:dyDescent="0.25">
      <c r="A27" s="14" t="s">
        <v>44</v>
      </c>
      <c r="B27" s="14"/>
      <c r="C27" s="15"/>
      <c r="D27" s="16"/>
      <c r="E27" s="17"/>
      <c r="F27" s="18"/>
      <c r="G27" s="17"/>
      <c r="H27" s="18"/>
      <c r="I27" s="17"/>
      <c r="J27" s="18"/>
      <c r="K27" s="17"/>
      <c r="L27" s="18"/>
      <c r="M27" s="17"/>
      <c r="N27" s="18"/>
      <c r="O27" s="17"/>
      <c r="P27" s="18"/>
      <c r="Q27" s="17"/>
      <c r="R27" s="18"/>
      <c r="S27" s="17"/>
      <c r="T27" s="18"/>
      <c r="U27" s="17"/>
      <c r="V27" s="18"/>
      <c r="W27" s="17"/>
      <c r="X27" s="18"/>
      <c r="Y27" s="17"/>
      <c r="Z27" s="18"/>
      <c r="AA27" s="17"/>
      <c r="AB27" s="18"/>
      <c r="AC27" s="17"/>
      <c r="AD27" s="18"/>
      <c r="AE27" s="17"/>
      <c r="AF27" s="18"/>
      <c r="AG27" s="17"/>
      <c r="AH27" s="18"/>
      <c r="AI27" s="17"/>
      <c r="AJ27" s="18"/>
      <c r="AK27" s="17"/>
      <c r="AL27" s="18"/>
      <c r="AM27" s="17"/>
    </row>
    <row r="28" spans="1:39" ht="30" x14ac:dyDescent="0.2">
      <c r="A28">
        <v>1</v>
      </c>
      <c r="B28" s="1" t="s">
        <v>45</v>
      </c>
      <c r="C28" s="1" t="s">
        <v>31</v>
      </c>
      <c r="D28" s="7" t="s">
        <v>15</v>
      </c>
      <c r="E28" s="10"/>
      <c r="F28" s="4"/>
      <c r="G28" s="10"/>
      <c r="H28" s="4" t="s">
        <v>15</v>
      </c>
      <c r="I28" s="10"/>
      <c r="J28" s="4"/>
      <c r="K28" s="10"/>
      <c r="L28" s="4" t="s">
        <v>15</v>
      </c>
      <c r="M28" s="10"/>
      <c r="N28" s="4" t="s">
        <v>15</v>
      </c>
      <c r="O28" s="10" t="s">
        <v>15</v>
      </c>
      <c r="P28" s="4" t="s">
        <v>15</v>
      </c>
      <c r="Q28" s="10" t="s">
        <v>15</v>
      </c>
      <c r="R28" s="4" t="s">
        <v>15</v>
      </c>
      <c r="S28" s="10" t="s">
        <v>15</v>
      </c>
      <c r="T28" s="4" t="s">
        <v>15</v>
      </c>
      <c r="U28" s="10" t="s">
        <v>15</v>
      </c>
      <c r="V28" s="4" t="s">
        <v>15</v>
      </c>
      <c r="W28" s="10"/>
      <c r="X28" s="4"/>
      <c r="Y28" s="10"/>
      <c r="Z28" s="4" t="s">
        <v>15</v>
      </c>
      <c r="AA28" s="10"/>
      <c r="AB28" s="4" t="s">
        <v>15</v>
      </c>
      <c r="AC28" s="10"/>
      <c r="AD28" s="4" t="s">
        <v>15</v>
      </c>
      <c r="AE28" s="10"/>
      <c r="AF28" s="4" t="s">
        <v>15</v>
      </c>
      <c r="AG28" s="10" t="s">
        <v>15</v>
      </c>
      <c r="AH28" s="4" t="s">
        <v>15</v>
      </c>
      <c r="AI28" s="10" t="s">
        <v>15</v>
      </c>
      <c r="AJ28" s="4" t="s">
        <v>15</v>
      </c>
      <c r="AK28" s="10"/>
      <c r="AL28" s="4" t="s">
        <v>15</v>
      </c>
      <c r="AM28" s="10"/>
    </row>
    <row r="29" spans="1:39" x14ac:dyDescent="0.2">
      <c r="A29">
        <v>5</v>
      </c>
      <c r="B29" s="1" t="s">
        <v>46</v>
      </c>
      <c r="C29" s="1" t="s">
        <v>47</v>
      </c>
      <c r="D29" s="7"/>
      <c r="E29" s="10"/>
      <c r="F29" s="4"/>
      <c r="G29" s="10"/>
      <c r="H29" s="4"/>
      <c r="I29" s="10"/>
      <c r="J29" s="4"/>
      <c r="K29" s="10"/>
      <c r="L29" s="4"/>
      <c r="M29" s="10"/>
      <c r="N29" s="4" t="s">
        <v>15</v>
      </c>
      <c r="O29" s="10" t="s">
        <v>15</v>
      </c>
      <c r="P29" s="4" t="s">
        <v>15</v>
      </c>
      <c r="Q29" s="10" t="s">
        <v>15</v>
      </c>
      <c r="R29" s="4"/>
      <c r="S29" s="10"/>
      <c r="T29" s="4" t="s">
        <v>15</v>
      </c>
      <c r="U29" s="10" t="s">
        <v>15</v>
      </c>
      <c r="V29" s="4"/>
      <c r="W29" s="10"/>
      <c r="X29" s="4"/>
      <c r="Y29" s="10"/>
      <c r="Z29" s="4"/>
      <c r="AA29" s="10"/>
      <c r="AB29" s="4"/>
      <c r="AC29" s="10"/>
      <c r="AD29" s="4"/>
      <c r="AE29" s="10"/>
      <c r="AF29" s="4"/>
      <c r="AG29" s="10"/>
      <c r="AH29" s="4"/>
      <c r="AI29" s="10"/>
      <c r="AJ29" s="4"/>
      <c r="AK29" s="10"/>
      <c r="AL29" s="4"/>
      <c r="AM29" s="10"/>
    </row>
    <row r="30" spans="1:39" ht="30" x14ac:dyDescent="0.2">
      <c r="A30">
        <v>2</v>
      </c>
      <c r="B30" s="1" t="s">
        <v>48</v>
      </c>
      <c r="C30" s="1" t="s">
        <v>49</v>
      </c>
      <c r="D30" s="7"/>
      <c r="E30" s="10"/>
      <c r="F30" s="4"/>
      <c r="G30" s="10"/>
      <c r="H30" s="4"/>
      <c r="I30" s="10"/>
      <c r="J30" s="4"/>
      <c r="K30" s="10"/>
      <c r="L30" s="4"/>
      <c r="M30" s="10"/>
      <c r="N30" s="4" t="s">
        <v>15</v>
      </c>
      <c r="O30" s="10" t="s">
        <v>15</v>
      </c>
      <c r="P30" s="4" t="s">
        <v>15</v>
      </c>
      <c r="Q30" s="10" t="s">
        <v>15</v>
      </c>
      <c r="R30" s="4"/>
      <c r="S30" s="10"/>
      <c r="T30" s="4" t="s">
        <v>15</v>
      </c>
      <c r="U30" s="10" t="s">
        <v>15</v>
      </c>
      <c r="V30" s="4"/>
      <c r="W30" s="10"/>
      <c r="X30" s="4"/>
      <c r="Y30" s="10"/>
      <c r="Z30" s="4"/>
      <c r="AA30" s="10"/>
      <c r="AB30" s="4"/>
      <c r="AC30" s="10"/>
      <c r="AD30" s="4"/>
      <c r="AE30" s="10"/>
      <c r="AF30" s="4"/>
      <c r="AG30" s="10"/>
      <c r="AH30" s="4"/>
      <c r="AI30" s="10"/>
      <c r="AJ30" s="4"/>
      <c r="AK30" s="10"/>
      <c r="AL30" s="4"/>
      <c r="AM30" s="10"/>
    </row>
    <row r="31" spans="1:39" ht="30" x14ac:dyDescent="0.2">
      <c r="A31">
        <v>2</v>
      </c>
      <c r="B31" s="1" t="s">
        <v>50</v>
      </c>
      <c r="C31" s="1" t="s">
        <v>47</v>
      </c>
      <c r="D31" s="7"/>
      <c r="E31" s="10"/>
      <c r="F31" s="4"/>
      <c r="G31" s="10"/>
      <c r="H31" s="4"/>
      <c r="I31" s="10"/>
      <c r="J31" s="4"/>
      <c r="K31" s="10"/>
      <c r="L31" s="4"/>
      <c r="M31" s="10"/>
      <c r="N31" s="4" t="s">
        <v>15</v>
      </c>
      <c r="O31" s="10" t="s">
        <v>15</v>
      </c>
      <c r="P31" s="4" t="s">
        <v>15</v>
      </c>
      <c r="Q31" s="10" t="s">
        <v>15</v>
      </c>
      <c r="R31" s="4"/>
      <c r="S31" s="10"/>
      <c r="T31" s="4" t="s">
        <v>15</v>
      </c>
      <c r="U31" s="10" t="s">
        <v>15</v>
      </c>
      <c r="V31" s="4"/>
      <c r="W31" s="10"/>
      <c r="X31" s="4"/>
      <c r="Y31" s="10"/>
      <c r="Z31" s="4"/>
      <c r="AA31" s="10"/>
      <c r="AB31" s="4"/>
      <c r="AC31" s="10"/>
      <c r="AD31" s="4"/>
      <c r="AE31" s="10"/>
      <c r="AF31" s="4"/>
      <c r="AG31" s="10"/>
      <c r="AH31" s="4"/>
      <c r="AI31" s="10"/>
      <c r="AJ31" s="4"/>
      <c r="AK31" s="10"/>
      <c r="AL31" s="4"/>
      <c r="AM31" s="10"/>
    </row>
    <row r="32" spans="1:39" s="19" customFormat="1" ht="18" x14ac:dyDescent="0.25">
      <c r="A32" s="14" t="s">
        <v>51</v>
      </c>
      <c r="B32" s="14"/>
      <c r="C32" s="15"/>
      <c r="D32" s="16"/>
      <c r="E32" s="17"/>
      <c r="F32" s="18"/>
      <c r="G32" s="17"/>
      <c r="H32" s="18"/>
      <c r="I32" s="17"/>
      <c r="J32" s="18"/>
      <c r="K32" s="17"/>
      <c r="L32" s="18"/>
      <c r="M32" s="17"/>
      <c r="N32" s="18"/>
      <c r="O32" s="17"/>
      <c r="P32" s="18"/>
      <c r="Q32" s="17"/>
      <c r="R32" s="18"/>
      <c r="S32" s="17"/>
      <c r="T32" s="18"/>
      <c r="U32" s="17"/>
      <c r="V32" s="18"/>
      <c r="W32" s="17"/>
      <c r="X32" s="18"/>
      <c r="Y32" s="17"/>
      <c r="Z32" s="18"/>
      <c r="AA32" s="17"/>
      <c r="AB32" s="18"/>
      <c r="AC32" s="17"/>
      <c r="AD32" s="18"/>
      <c r="AE32" s="17"/>
      <c r="AF32" s="18"/>
      <c r="AG32" s="17"/>
      <c r="AH32" s="18"/>
      <c r="AI32" s="17"/>
      <c r="AJ32" s="18"/>
      <c r="AK32" s="17"/>
      <c r="AL32" s="18"/>
      <c r="AM32" s="17"/>
    </row>
    <row r="33" spans="1:39" ht="45" x14ac:dyDescent="0.2">
      <c r="A33">
        <v>2</v>
      </c>
      <c r="B33" s="1" t="s">
        <v>52</v>
      </c>
      <c r="C33" s="1" t="s">
        <v>53</v>
      </c>
      <c r="D33" s="7" t="s">
        <v>15</v>
      </c>
      <c r="E33" s="10" t="s">
        <v>15</v>
      </c>
      <c r="F33" s="4" t="s">
        <v>15</v>
      </c>
      <c r="G33" s="10" t="s">
        <v>15</v>
      </c>
      <c r="H33" s="4" t="s">
        <v>15</v>
      </c>
      <c r="I33" s="10"/>
      <c r="J33" s="4" t="s">
        <v>15</v>
      </c>
      <c r="K33" s="10" t="s">
        <v>15</v>
      </c>
      <c r="L33" s="4" t="s">
        <v>15</v>
      </c>
      <c r="M33" s="10"/>
      <c r="N33" s="4" t="s">
        <v>15</v>
      </c>
      <c r="O33" s="10" t="s">
        <v>15</v>
      </c>
      <c r="P33" s="4" t="s">
        <v>15</v>
      </c>
      <c r="Q33" s="10" t="s">
        <v>15</v>
      </c>
      <c r="R33" s="4" t="s">
        <v>15</v>
      </c>
      <c r="S33" s="10" t="s">
        <v>15</v>
      </c>
      <c r="T33" s="4" t="s">
        <v>15</v>
      </c>
      <c r="U33" s="10"/>
      <c r="V33" s="4" t="s">
        <v>15</v>
      </c>
      <c r="W33" s="10" t="s">
        <v>15</v>
      </c>
      <c r="X33" s="4" t="s">
        <v>15</v>
      </c>
      <c r="Y33" s="10" t="s">
        <v>15</v>
      </c>
      <c r="Z33" s="4" t="s">
        <v>15</v>
      </c>
      <c r="AA33" s="10"/>
      <c r="AB33" s="4" t="s">
        <v>15</v>
      </c>
      <c r="AC33" s="10" t="s">
        <v>15</v>
      </c>
      <c r="AD33" s="4" t="s">
        <v>15</v>
      </c>
      <c r="AE33" s="10" t="s">
        <v>15</v>
      </c>
      <c r="AF33" s="4" t="s">
        <v>15</v>
      </c>
      <c r="AG33" s="10" t="s">
        <v>15</v>
      </c>
      <c r="AH33" s="4" t="s">
        <v>15</v>
      </c>
      <c r="AI33" s="10" t="s">
        <v>15</v>
      </c>
      <c r="AJ33" s="4" t="s">
        <v>15</v>
      </c>
      <c r="AK33" s="10" t="s">
        <v>15</v>
      </c>
      <c r="AL33" s="4"/>
      <c r="AM33" s="10"/>
    </row>
    <row r="34" spans="1:39" ht="30" x14ac:dyDescent="0.2">
      <c r="A34">
        <v>2</v>
      </c>
      <c r="B34" s="1" t="s">
        <v>54</v>
      </c>
      <c r="C34" s="1" t="s">
        <v>53</v>
      </c>
      <c r="D34" s="7"/>
      <c r="E34" s="10"/>
      <c r="F34" s="4" t="s">
        <v>15</v>
      </c>
      <c r="G34" s="10" t="s">
        <v>15</v>
      </c>
      <c r="H34" s="4" t="s">
        <v>15</v>
      </c>
      <c r="I34" s="10"/>
      <c r="J34" s="4" t="s">
        <v>15</v>
      </c>
      <c r="K34" s="10" t="s">
        <v>15</v>
      </c>
      <c r="L34" s="4" t="s">
        <v>15</v>
      </c>
      <c r="M34" s="10" t="s">
        <v>15</v>
      </c>
      <c r="N34" s="4" t="s">
        <v>15</v>
      </c>
      <c r="O34" s="10" t="s">
        <v>15</v>
      </c>
      <c r="P34" s="4" t="s">
        <v>15</v>
      </c>
      <c r="Q34" s="10" t="s">
        <v>15</v>
      </c>
      <c r="R34" s="4" t="s">
        <v>15</v>
      </c>
      <c r="S34" s="10" t="s">
        <v>15</v>
      </c>
      <c r="T34" s="4" t="s">
        <v>15</v>
      </c>
      <c r="U34" s="10"/>
      <c r="V34" s="4" t="s">
        <v>15</v>
      </c>
      <c r="W34" s="10"/>
      <c r="X34" s="4" t="s">
        <v>15</v>
      </c>
      <c r="Y34" s="10" t="s">
        <v>15</v>
      </c>
      <c r="Z34" s="4"/>
      <c r="AA34" s="10"/>
      <c r="AB34" s="4" t="s">
        <v>15</v>
      </c>
      <c r="AC34" s="10" t="s">
        <v>15</v>
      </c>
      <c r="AD34" s="4" t="s">
        <v>15</v>
      </c>
      <c r="AE34" s="10" t="s">
        <v>15</v>
      </c>
      <c r="AF34" s="4" t="s">
        <v>15</v>
      </c>
      <c r="AG34" s="10" t="s">
        <v>15</v>
      </c>
      <c r="AH34" s="4" t="s">
        <v>15</v>
      </c>
      <c r="AI34" s="10"/>
      <c r="AJ34" s="4" t="s">
        <v>15</v>
      </c>
      <c r="AK34" s="10"/>
      <c r="AL34" s="4"/>
      <c r="AM34" s="10"/>
    </row>
    <row r="35" spans="1:39" x14ac:dyDescent="0.2">
      <c r="A35">
        <v>3</v>
      </c>
      <c r="B35" s="1" t="s">
        <v>55</v>
      </c>
      <c r="C35" s="1" t="s">
        <v>56</v>
      </c>
      <c r="D35" s="7" t="s">
        <v>15</v>
      </c>
      <c r="E35" s="10" t="s">
        <v>15</v>
      </c>
      <c r="F35" s="4" t="s">
        <v>15</v>
      </c>
      <c r="G35" s="10" t="s">
        <v>15</v>
      </c>
      <c r="H35" s="4" t="s">
        <v>15</v>
      </c>
      <c r="I35" s="10"/>
      <c r="J35" s="4" t="s">
        <v>15</v>
      </c>
      <c r="K35" s="10" t="s">
        <v>15</v>
      </c>
      <c r="L35" s="4" t="s">
        <v>15</v>
      </c>
      <c r="M35" s="10" t="s">
        <v>15</v>
      </c>
      <c r="N35" s="4" t="s">
        <v>15</v>
      </c>
      <c r="O35" s="10" t="s">
        <v>15</v>
      </c>
      <c r="P35" s="4" t="s">
        <v>15</v>
      </c>
      <c r="Q35" s="10" t="s">
        <v>15</v>
      </c>
      <c r="R35" s="4" t="s">
        <v>15</v>
      </c>
      <c r="S35" s="10" t="s">
        <v>15</v>
      </c>
      <c r="T35" s="4" t="s">
        <v>15</v>
      </c>
      <c r="U35" s="10"/>
      <c r="V35" s="4" t="s">
        <v>15</v>
      </c>
      <c r="W35" s="10" t="s">
        <v>15</v>
      </c>
      <c r="X35" s="4" t="s">
        <v>15</v>
      </c>
      <c r="Y35" s="10" t="s">
        <v>15</v>
      </c>
      <c r="Z35" s="4" t="s">
        <v>15</v>
      </c>
      <c r="AA35" s="10"/>
      <c r="AB35" s="4" t="s">
        <v>15</v>
      </c>
      <c r="AC35" s="10" t="s">
        <v>15</v>
      </c>
      <c r="AD35" s="4" t="s">
        <v>15</v>
      </c>
      <c r="AE35" s="10" t="s">
        <v>15</v>
      </c>
      <c r="AF35" s="4" t="s">
        <v>15</v>
      </c>
      <c r="AG35" s="10" t="s">
        <v>15</v>
      </c>
      <c r="AH35" s="4" t="s">
        <v>15</v>
      </c>
      <c r="AI35" s="10" t="s">
        <v>15</v>
      </c>
      <c r="AJ35" s="4" t="s">
        <v>15</v>
      </c>
      <c r="AK35" s="10" t="s">
        <v>15</v>
      </c>
      <c r="AL35" s="4"/>
      <c r="AM35" s="10"/>
    </row>
    <row r="36" spans="1:39" ht="30" x14ac:dyDescent="0.2">
      <c r="A36">
        <v>3</v>
      </c>
      <c r="B36" s="1" t="s">
        <v>57</v>
      </c>
      <c r="C36" s="1" t="s">
        <v>58</v>
      </c>
      <c r="D36" s="7" t="s">
        <v>15</v>
      </c>
      <c r="E36" s="10"/>
      <c r="F36" s="4"/>
      <c r="G36" s="10"/>
      <c r="H36" s="4" t="s">
        <v>15</v>
      </c>
      <c r="I36" s="10"/>
      <c r="J36" s="4" t="s">
        <v>15</v>
      </c>
      <c r="K36" s="10" t="s">
        <v>15</v>
      </c>
      <c r="L36" s="4" t="s">
        <v>15</v>
      </c>
      <c r="M36" s="10" t="s">
        <v>15</v>
      </c>
      <c r="N36" s="4" t="s">
        <v>15</v>
      </c>
      <c r="O36" s="10" t="s">
        <v>15</v>
      </c>
      <c r="P36" s="4" t="s">
        <v>15</v>
      </c>
      <c r="Q36" s="10" t="s">
        <v>15</v>
      </c>
      <c r="R36" s="4" t="s">
        <v>15</v>
      </c>
      <c r="S36" s="10" t="s">
        <v>15</v>
      </c>
      <c r="T36" s="4"/>
      <c r="U36" s="10"/>
      <c r="V36" s="4" t="s">
        <v>15</v>
      </c>
      <c r="W36" s="10"/>
      <c r="X36" s="4"/>
      <c r="Y36" s="10"/>
      <c r="Z36" s="4"/>
      <c r="AA36" s="10"/>
      <c r="AB36" s="4"/>
      <c r="AC36" s="10"/>
      <c r="AD36" s="4"/>
      <c r="AE36" s="10"/>
      <c r="AF36" s="4"/>
      <c r="AG36" s="10"/>
      <c r="AH36" s="4"/>
      <c r="AI36" s="10"/>
      <c r="AJ36" s="4"/>
      <c r="AK36" s="10"/>
      <c r="AL36" s="4"/>
      <c r="AM36" s="10"/>
    </row>
    <row r="37" spans="1:39" s="19" customFormat="1" ht="18" x14ac:dyDescent="0.25">
      <c r="A37" s="14" t="s">
        <v>59</v>
      </c>
      <c r="B37" s="14"/>
      <c r="C37" s="15"/>
      <c r="D37" s="16"/>
      <c r="E37" s="17"/>
      <c r="F37" s="18"/>
      <c r="G37" s="17"/>
      <c r="H37" s="18"/>
      <c r="I37" s="17"/>
      <c r="J37" s="18"/>
      <c r="K37" s="17"/>
      <c r="L37" s="18"/>
      <c r="M37" s="17"/>
      <c r="N37" s="18"/>
      <c r="O37" s="17"/>
      <c r="P37" s="18"/>
      <c r="Q37" s="17"/>
      <c r="R37" s="18"/>
      <c r="S37" s="17"/>
      <c r="T37" s="18"/>
      <c r="U37" s="17"/>
      <c r="V37" s="18"/>
      <c r="W37" s="17"/>
      <c r="X37" s="18"/>
      <c r="Y37" s="17"/>
      <c r="Z37" s="18"/>
      <c r="AA37" s="17"/>
      <c r="AB37" s="18"/>
      <c r="AC37" s="17"/>
      <c r="AD37" s="18"/>
      <c r="AE37" s="17"/>
      <c r="AF37" s="18"/>
      <c r="AG37" s="17"/>
      <c r="AH37" s="18"/>
      <c r="AI37" s="17"/>
      <c r="AJ37" s="18"/>
      <c r="AK37" s="17"/>
      <c r="AL37" s="18"/>
      <c r="AM37" s="17"/>
    </row>
    <row r="38" spans="1:39" x14ac:dyDescent="0.2">
      <c r="A38">
        <v>1</v>
      </c>
      <c r="B38" s="1" t="s">
        <v>60</v>
      </c>
      <c r="C38" s="1" t="s">
        <v>61</v>
      </c>
      <c r="D38" s="7"/>
      <c r="E38" s="10"/>
      <c r="F38" s="4"/>
      <c r="G38" s="10"/>
      <c r="H38" s="4"/>
      <c r="I38" s="10"/>
      <c r="J38" s="4"/>
      <c r="K38" s="10"/>
      <c r="L38" s="4"/>
      <c r="M38" s="10"/>
      <c r="N38" s="4"/>
      <c r="O38" s="10"/>
      <c r="P38" s="4"/>
      <c r="Q38" s="10"/>
      <c r="R38" s="4"/>
      <c r="S38" s="10"/>
      <c r="T38" s="4"/>
      <c r="U38" s="10"/>
      <c r="V38" s="4" t="s">
        <v>15</v>
      </c>
      <c r="W38" s="10" t="s">
        <v>15</v>
      </c>
      <c r="X38" s="4"/>
      <c r="Y38" s="10"/>
      <c r="Z38" s="4"/>
      <c r="AA38" s="10"/>
      <c r="AB38" s="4" t="s">
        <v>15</v>
      </c>
      <c r="AC38" s="10" t="s">
        <v>15</v>
      </c>
      <c r="AD38" s="4"/>
      <c r="AE38" s="10"/>
      <c r="AF38" s="4"/>
      <c r="AG38" s="10"/>
      <c r="AH38" s="4"/>
      <c r="AI38" s="10"/>
      <c r="AJ38" s="4"/>
      <c r="AK38" s="10"/>
      <c r="AL38" s="4"/>
      <c r="AM38" s="10"/>
    </row>
    <row r="39" spans="1:39" x14ac:dyDescent="0.2">
      <c r="A39">
        <v>2</v>
      </c>
      <c r="B39" s="1" t="s">
        <v>62</v>
      </c>
      <c r="C39" s="1" t="s">
        <v>22</v>
      </c>
      <c r="D39" s="7" t="s">
        <v>15</v>
      </c>
      <c r="E39" s="10"/>
      <c r="F39" s="4"/>
      <c r="G39" s="10"/>
      <c r="H39" s="4" t="s">
        <v>15</v>
      </c>
      <c r="I39" s="10"/>
      <c r="J39" s="4" t="s">
        <v>15</v>
      </c>
      <c r="K39" s="10"/>
      <c r="L39" s="4" t="s">
        <v>15</v>
      </c>
      <c r="M39" s="10"/>
      <c r="N39" s="4" t="s">
        <v>15</v>
      </c>
      <c r="O39" s="10"/>
      <c r="P39" s="4" t="s">
        <v>15</v>
      </c>
      <c r="Q39" s="10"/>
      <c r="R39" s="4" t="s">
        <v>15</v>
      </c>
      <c r="S39" s="10"/>
      <c r="T39" s="4" t="s">
        <v>15</v>
      </c>
      <c r="U39" s="10"/>
      <c r="V39" s="4" t="s">
        <v>15</v>
      </c>
      <c r="W39" s="10"/>
      <c r="X39" s="4"/>
      <c r="Y39" s="10"/>
      <c r="Z39" s="4" t="s">
        <v>15</v>
      </c>
      <c r="AA39" s="10"/>
      <c r="AB39" s="4" t="s">
        <v>15</v>
      </c>
      <c r="AC39" s="10"/>
      <c r="AD39" s="4" t="s">
        <v>15</v>
      </c>
      <c r="AE39" s="10"/>
      <c r="AF39" s="4" t="s">
        <v>15</v>
      </c>
      <c r="AG39" s="10"/>
      <c r="AH39" s="4" t="s">
        <v>15</v>
      </c>
      <c r="AI39" s="10"/>
      <c r="AJ39" s="4" t="s">
        <v>15</v>
      </c>
      <c r="AK39" s="10"/>
      <c r="AL39" s="4"/>
      <c r="AM39" s="10"/>
    </row>
    <row r="40" spans="1:39" ht="30" x14ac:dyDescent="0.2">
      <c r="A40">
        <v>3</v>
      </c>
      <c r="B40" s="1" t="s">
        <v>63</v>
      </c>
      <c r="C40" s="1" t="s">
        <v>64</v>
      </c>
      <c r="D40" s="7"/>
      <c r="E40" s="10"/>
      <c r="F40" s="4"/>
      <c r="G40" s="10"/>
      <c r="H40" s="4" t="s">
        <v>15</v>
      </c>
      <c r="I40" s="10"/>
      <c r="J40" s="4"/>
      <c r="K40" s="10"/>
      <c r="L40" s="4" t="s">
        <v>15</v>
      </c>
      <c r="M40" s="10" t="s">
        <v>15</v>
      </c>
      <c r="N40" s="4"/>
      <c r="O40" s="10"/>
      <c r="P40" s="4" t="s">
        <v>15</v>
      </c>
      <c r="Q40" s="10" t="s">
        <v>15</v>
      </c>
      <c r="R40" s="4" t="s">
        <v>15</v>
      </c>
      <c r="S40" s="10"/>
      <c r="T40" s="4" t="s">
        <v>15</v>
      </c>
      <c r="U40" s="10" t="s">
        <v>15</v>
      </c>
      <c r="V40" s="4"/>
      <c r="W40" s="10"/>
      <c r="X40" s="4"/>
      <c r="Y40" s="10"/>
      <c r="Z40" s="4" t="s">
        <v>15</v>
      </c>
      <c r="AA40" s="10"/>
      <c r="AB40" s="4"/>
      <c r="AC40" s="10"/>
      <c r="AD40" s="4" t="s">
        <v>15</v>
      </c>
      <c r="AE40" s="10" t="s">
        <v>15</v>
      </c>
      <c r="AF40" s="4"/>
      <c r="AG40" s="10"/>
      <c r="AH40" s="4" t="s">
        <v>15</v>
      </c>
      <c r="AI40" s="10"/>
      <c r="AJ40" s="4" t="s">
        <v>15</v>
      </c>
      <c r="AK40" s="10" t="s">
        <v>15</v>
      </c>
      <c r="AL40" s="4"/>
      <c r="AM40" s="10"/>
    </row>
    <row r="41" spans="1:39" x14ac:dyDescent="0.2">
      <c r="A41">
        <v>2</v>
      </c>
      <c r="B41" s="1" t="s">
        <v>65</v>
      </c>
      <c r="C41" s="1" t="s">
        <v>22</v>
      </c>
      <c r="D41" s="7" t="s">
        <v>15</v>
      </c>
      <c r="E41" s="10"/>
      <c r="F41" s="4"/>
      <c r="G41" s="10"/>
      <c r="H41" s="4" t="s">
        <v>15</v>
      </c>
      <c r="I41" s="10"/>
      <c r="J41" s="4" t="s">
        <v>15</v>
      </c>
      <c r="K41" s="10"/>
      <c r="L41" s="4" t="s">
        <v>15</v>
      </c>
      <c r="M41" s="10"/>
      <c r="N41" s="4"/>
      <c r="O41" s="10"/>
      <c r="P41" s="4" t="s">
        <v>15</v>
      </c>
      <c r="Q41" s="10"/>
      <c r="R41" s="4"/>
      <c r="S41" s="10"/>
      <c r="T41" s="4" t="s">
        <v>15</v>
      </c>
      <c r="U41" s="10"/>
      <c r="V41" s="4"/>
      <c r="W41" s="10"/>
      <c r="X41" s="4" t="s">
        <v>15</v>
      </c>
      <c r="Y41" s="10"/>
      <c r="Z41" s="4"/>
      <c r="AA41" s="10"/>
      <c r="AB41" s="4" t="s">
        <v>15</v>
      </c>
      <c r="AC41" s="10"/>
      <c r="AD41" s="4" t="s">
        <v>15</v>
      </c>
      <c r="AE41" s="10"/>
      <c r="AF41" s="4" t="s">
        <v>15</v>
      </c>
      <c r="AG41" s="10"/>
      <c r="AH41" s="4" t="s">
        <v>15</v>
      </c>
      <c r="AI41" s="10"/>
      <c r="AJ41" s="4"/>
      <c r="AK41" s="10"/>
      <c r="AL41" s="4"/>
      <c r="AM41" s="10"/>
    </row>
    <row r="42" spans="1:39" ht="30" x14ac:dyDescent="0.2">
      <c r="A42">
        <v>5</v>
      </c>
      <c r="B42" s="1" t="s">
        <v>66</v>
      </c>
      <c r="C42" s="1" t="s">
        <v>22</v>
      </c>
      <c r="D42" s="7"/>
      <c r="E42" s="10"/>
      <c r="F42" s="4"/>
      <c r="G42" s="10"/>
      <c r="H42" s="4" t="s">
        <v>15</v>
      </c>
      <c r="I42" s="10"/>
      <c r="J42" s="4"/>
      <c r="K42" s="10"/>
      <c r="L42" s="4" t="s">
        <v>15</v>
      </c>
      <c r="M42" s="10"/>
      <c r="N42" s="4"/>
      <c r="O42" s="10"/>
      <c r="P42" s="4" t="s">
        <v>15</v>
      </c>
      <c r="Q42" s="10"/>
      <c r="R42" s="4"/>
      <c r="S42" s="10"/>
      <c r="T42" s="4"/>
      <c r="U42" s="10"/>
      <c r="V42" s="4"/>
      <c r="W42" s="10"/>
      <c r="X42" s="4"/>
      <c r="Y42" s="10"/>
      <c r="Z42" s="4"/>
      <c r="AA42" s="10"/>
      <c r="AB42" s="4"/>
      <c r="AC42" s="10"/>
      <c r="AD42" s="4"/>
      <c r="AE42" s="10"/>
      <c r="AF42" s="4"/>
      <c r="AG42" s="10"/>
      <c r="AH42" s="4"/>
      <c r="AI42" s="10"/>
      <c r="AJ42" s="4"/>
      <c r="AK42" s="10"/>
      <c r="AL42" s="4"/>
      <c r="AM42" s="10"/>
    </row>
    <row r="43" spans="1:39" s="19" customFormat="1" ht="18" x14ac:dyDescent="0.25">
      <c r="A43" s="14" t="s">
        <v>67</v>
      </c>
      <c r="B43" s="14"/>
      <c r="C43" s="15"/>
      <c r="D43" s="16"/>
      <c r="E43" s="17"/>
      <c r="F43" s="18"/>
      <c r="G43" s="17"/>
      <c r="H43" s="18"/>
      <c r="I43" s="17"/>
      <c r="J43" s="18"/>
      <c r="K43" s="17"/>
      <c r="L43" s="18"/>
      <c r="M43" s="17"/>
      <c r="N43" s="18"/>
      <c r="O43" s="17"/>
      <c r="P43" s="18"/>
      <c r="Q43" s="17"/>
      <c r="R43" s="18"/>
      <c r="S43" s="17"/>
      <c r="T43" s="18"/>
      <c r="U43" s="17"/>
      <c r="V43" s="18"/>
      <c r="W43" s="17"/>
      <c r="X43" s="18"/>
      <c r="Y43" s="17"/>
      <c r="Z43" s="18"/>
      <c r="AA43" s="17"/>
      <c r="AB43" s="18"/>
      <c r="AC43" s="17"/>
      <c r="AD43" s="18"/>
      <c r="AE43" s="17"/>
      <c r="AF43" s="18"/>
      <c r="AG43" s="17"/>
      <c r="AH43" s="18"/>
      <c r="AI43" s="17"/>
      <c r="AJ43" s="18"/>
      <c r="AK43" s="17"/>
      <c r="AL43" s="18"/>
      <c r="AM43" s="17"/>
    </row>
    <row r="44" spans="1:39" ht="30" x14ac:dyDescent="0.2">
      <c r="A44">
        <v>4</v>
      </c>
      <c r="B44" s="1" t="s">
        <v>68</v>
      </c>
      <c r="D44" s="7" t="s">
        <v>15</v>
      </c>
      <c r="E44" s="10" t="s">
        <v>15</v>
      </c>
      <c r="F44" s="4" t="s">
        <v>15</v>
      </c>
      <c r="G44" s="10" t="s">
        <v>15</v>
      </c>
      <c r="H44" s="4"/>
      <c r="I44" s="10"/>
      <c r="J44" s="4" t="s">
        <v>15</v>
      </c>
      <c r="K44" s="10" t="s">
        <v>15</v>
      </c>
      <c r="L44" s="4" t="s">
        <v>15</v>
      </c>
      <c r="M44" s="10" t="s">
        <v>15</v>
      </c>
      <c r="N44" s="4" t="s">
        <v>15</v>
      </c>
      <c r="O44" s="10" t="s">
        <v>15</v>
      </c>
      <c r="P44" s="4" t="s">
        <v>15</v>
      </c>
      <c r="Q44" s="10" t="s">
        <v>15</v>
      </c>
      <c r="R44" s="4" t="s">
        <v>15</v>
      </c>
      <c r="S44" s="10" t="s">
        <v>15</v>
      </c>
      <c r="T44" s="4" t="s">
        <v>15</v>
      </c>
      <c r="U44" s="10" t="s">
        <v>15</v>
      </c>
      <c r="V44" s="4" t="s">
        <v>15</v>
      </c>
      <c r="W44" s="10" t="s">
        <v>15</v>
      </c>
      <c r="X44" s="4" t="s">
        <v>15</v>
      </c>
      <c r="Y44" s="10" t="s">
        <v>15</v>
      </c>
      <c r="Z44" s="4"/>
      <c r="AA44" s="10"/>
      <c r="AB44" s="4" t="s">
        <v>15</v>
      </c>
      <c r="AC44" s="10" t="s">
        <v>15</v>
      </c>
      <c r="AD44" s="4" t="s">
        <v>15</v>
      </c>
      <c r="AE44" s="10" t="s">
        <v>15</v>
      </c>
      <c r="AF44" s="4" t="s">
        <v>15</v>
      </c>
      <c r="AG44" s="10" t="s">
        <v>15</v>
      </c>
      <c r="AH44" s="4" t="s">
        <v>15</v>
      </c>
      <c r="AI44" s="10" t="s">
        <v>15</v>
      </c>
      <c r="AJ44" s="4" t="s">
        <v>15</v>
      </c>
      <c r="AK44" s="10" t="s">
        <v>15</v>
      </c>
      <c r="AL44" s="4" t="s">
        <v>15</v>
      </c>
      <c r="AM44" s="10"/>
    </row>
    <row r="45" spans="1:39" ht="30" x14ac:dyDescent="0.2">
      <c r="A45">
        <v>3</v>
      </c>
      <c r="B45" s="1" t="s">
        <v>69</v>
      </c>
      <c r="D45" s="7"/>
      <c r="E45" s="10"/>
      <c r="F45" s="4"/>
      <c r="G45" s="10"/>
      <c r="H45" s="4"/>
      <c r="I45" s="10"/>
      <c r="J45" s="4"/>
      <c r="K45" s="10"/>
      <c r="L45" s="4"/>
      <c r="M45" s="10"/>
      <c r="N45" s="4"/>
      <c r="O45" s="10"/>
      <c r="P45" s="4" t="s">
        <v>15</v>
      </c>
      <c r="Q45" s="10" t="s">
        <v>15</v>
      </c>
      <c r="R45" s="4"/>
      <c r="S45" s="10"/>
      <c r="T45" s="4" t="s">
        <v>15</v>
      </c>
      <c r="U45" s="10"/>
      <c r="V45" s="4" t="s">
        <v>15</v>
      </c>
      <c r="W45" s="10"/>
      <c r="X45" s="4" t="s">
        <v>15</v>
      </c>
      <c r="Y45" s="10"/>
      <c r="Z45" s="4"/>
      <c r="AA45" s="10"/>
      <c r="AB45" s="4"/>
      <c r="AC45" s="10"/>
      <c r="AD45" s="4"/>
      <c r="AE45" s="10"/>
      <c r="AF45" s="4"/>
      <c r="AG45" s="10"/>
      <c r="AH45" s="4"/>
      <c r="AI45" s="10"/>
      <c r="AJ45" s="4"/>
      <c r="AK45" s="10"/>
      <c r="AL45" s="4"/>
      <c r="AM45" s="10"/>
    </row>
    <row r="46" spans="1:39" ht="30" x14ac:dyDescent="0.2">
      <c r="A46">
        <v>3</v>
      </c>
      <c r="B46" s="1" t="s">
        <v>70</v>
      </c>
      <c r="D46" s="7" t="s">
        <v>15</v>
      </c>
      <c r="E46" s="10"/>
      <c r="F46" s="4" t="s">
        <v>15</v>
      </c>
      <c r="G46" s="10"/>
      <c r="H46" s="4" t="s">
        <v>15</v>
      </c>
      <c r="I46" s="10"/>
      <c r="J46" s="4" t="s">
        <v>15</v>
      </c>
      <c r="K46" s="10"/>
      <c r="L46" s="4" t="s">
        <v>15</v>
      </c>
      <c r="M46" s="10"/>
      <c r="N46" s="4" t="s">
        <v>15</v>
      </c>
      <c r="O46" s="10"/>
      <c r="P46" s="4" t="s">
        <v>15</v>
      </c>
      <c r="Q46" s="10" t="s">
        <v>15</v>
      </c>
      <c r="R46" s="4" t="s">
        <v>15</v>
      </c>
      <c r="S46" s="10"/>
      <c r="T46" s="4" t="s">
        <v>15</v>
      </c>
      <c r="U46" s="10"/>
      <c r="V46" s="4" t="s">
        <v>15</v>
      </c>
      <c r="W46" s="10"/>
      <c r="X46" s="4" t="s">
        <v>15</v>
      </c>
      <c r="Y46" s="10" t="s">
        <v>15</v>
      </c>
      <c r="Z46" s="4" t="s">
        <v>15</v>
      </c>
      <c r="AA46" s="10"/>
      <c r="AB46" s="4" t="s">
        <v>15</v>
      </c>
      <c r="AC46" s="10"/>
      <c r="AD46" s="4" t="s">
        <v>15</v>
      </c>
      <c r="AE46" s="10"/>
      <c r="AF46" s="4" t="s">
        <v>15</v>
      </c>
      <c r="AG46" s="10"/>
      <c r="AH46" s="4" t="s">
        <v>15</v>
      </c>
      <c r="AI46" s="10"/>
      <c r="AJ46" s="4" t="s">
        <v>15</v>
      </c>
      <c r="AK46" s="10"/>
      <c r="AL46" s="4" t="s">
        <v>15</v>
      </c>
      <c r="AM46" s="10"/>
    </row>
    <row r="47" spans="1:39" s="20" customFormat="1" ht="213.75" customHeight="1" x14ac:dyDescent="0.2">
      <c r="D47" s="21"/>
      <c r="E47" s="22"/>
      <c r="F47" s="23"/>
      <c r="G47" s="23"/>
      <c r="H47" s="23" t="s">
        <v>71</v>
      </c>
      <c r="I47" s="23"/>
      <c r="J47" s="23" t="s">
        <v>72</v>
      </c>
      <c r="K47" s="23"/>
      <c r="L47" s="23" t="s">
        <v>73</v>
      </c>
      <c r="M47" s="23"/>
      <c r="N47" s="23" t="s">
        <v>74</v>
      </c>
      <c r="O47" s="23"/>
      <c r="P47" s="23"/>
      <c r="Q47" s="23"/>
      <c r="R47" s="23" t="s">
        <v>75</v>
      </c>
      <c r="S47" s="23"/>
      <c r="T47" s="23" t="s">
        <v>76</v>
      </c>
      <c r="U47" s="23"/>
      <c r="V47" s="23"/>
      <c r="W47" s="23"/>
      <c r="X47" s="23"/>
      <c r="Y47" s="23"/>
      <c r="Z47" s="23" t="s">
        <v>77</v>
      </c>
      <c r="AA47" s="23"/>
      <c r="AB47" s="23" t="s">
        <v>78</v>
      </c>
      <c r="AC47" s="23"/>
      <c r="AD47" s="23" t="s">
        <v>79</v>
      </c>
      <c r="AE47" s="23"/>
      <c r="AF47" s="23" t="s">
        <v>80</v>
      </c>
      <c r="AG47" s="23"/>
      <c r="AH47" s="23" t="s">
        <v>81</v>
      </c>
      <c r="AI47" s="23"/>
      <c r="AJ47" s="23" t="s">
        <v>82</v>
      </c>
      <c r="AK47" s="23"/>
      <c r="AL47" s="23" t="s">
        <v>83</v>
      </c>
      <c r="AM47" s="23"/>
    </row>
    <row r="49" spans="2:39" ht="18" x14ac:dyDescent="0.25">
      <c r="D49" s="11" t="s">
        <v>94</v>
      </c>
      <c r="E49" s="12"/>
      <c r="F49" s="11" t="s">
        <v>94</v>
      </c>
      <c r="G49" s="12"/>
      <c r="H49" s="11" t="s">
        <v>94</v>
      </c>
      <c r="I49" s="12"/>
      <c r="J49" s="11" t="s">
        <v>94</v>
      </c>
      <c r="K49" s="12"/>
      <c r="L49" s="11" t="s">
        <v>94</v>
      </c>
      <c r="M49" s="12"/>
      <c r="N49" s="11" t="s">
        <v>94</v>
      </c>
      <c r="O49" s="12"/>
      <c r="P49" s="11" t="s">
        <v>94</v>
      </c>
      <c r="Q49" s="12"/>
      <c r="R49" s="11" t="s">
        <v>94</v>
      </c>
      <c r="S49" s="12"/>
      <c r="T49" s="11" t="s">
        <v>94</v>
      </c>
      <c r="U49" s="12"/>
      <c r="V49" s="11" t="s">
        <v>94</v>
      </c>
      <c r="W49" s="12"/>
      <c r="X49" s="11" t="s">
        <v>94</v>
      </c>
      <c r="Y49" s="12"/>
      <c r="Z49" s="11" t="s">
        <v>94</v>
      </c>
      <c r="AA49" s="12"/>
      <c r="AB49" s="11" t="s">
        <v>94</v>
      </c>
      <c r="AC49" s="12"/>
      <c r="AD49" s="11" t="s">
        <v>94</v>
      </c>
      <c r="AE49" s="12"/>
      <c r="AF49" s="11" t="s">
        <v>94</v>
      </c>
      <c r="AG49" s="12"/>
      <c r="AH49" s="11" t="s">
        <v>94</v>
      </c>
      <c r="AI49" s="12"/>
      <c r="AJ49" s="11" t="s">
        <v>94</v>
      </c>
      <c r="AK49" s="12"/>
      <c r="AL49" s="11" t="s">
        <v>94</v>
      </c>
      <c r="AM49" s="12"/>
    </row>
    <row r="50" spans="2:39" ht="18" customHeight="1" x14ac:dyDescent="0.25">
      <c r="C50" s="2" t="s">
        <v>12</v>
      </c>
      <c r="D50" s="8">
        <f>IF(D6&lt;&gt;"",$A6,0)+IF(D7&lt;&gt;"",$A7,0)+IF(D8&lt;&gt;"",$A8,0)+IF(D9&lt;&gt;"",$A9,0)+IF(D10&lt;&gt;"",$A10,0)+IF(E6&lt;&gt;"",$A6/2,0)+IF(E7&lt;&gt;"",$A7/2,0)+IF(E8&lt;&gt;"",$A8/2,0)+IF(E9&lt;&gt;"",$A9/2, 0)+IF(E10&lt;&gt;"",$A10/2,0)</f>
        <v>12</v>
      </c>
      <c r="E50" s="13" t="str">
        <f>IF(D50&gt;=$C$59,$B$59,IF(D50&gt;=$C$60,$B$60,IF(D50&gt;=$C$61,$B$61,$B$62)))</f>
        <v>God</v>
      </c>
      <c r="F50" s="8">
        <f t="shared" ref="F50" si="0">IF(F6&lt;&gt;"",$A6,0)+IF(F7&lt;&gt;"",$A7,0)+IF(F8&lt;&gt;"",$A8,0)+IF(F9&lt;&gt;"",$A9,0)+IF(F10&lt;&gt;"",$A10,0)+IF(G6&lt;&gt;"",$A6/2,0)+IF(G7&lt;&gt;"",$A7/2,0)+IF(G8&lt;&gt;"",$A8/2,0)+IF(G9&lt;&gt;"",$A9/2, 0)+IF(G10&lt;&gt;"",$A10/2,0)</f>
        <v>11</v>
      </c>
      <c r="G50" s="13" t="str">
        <f t="shared" ref="G50:AM50" si="1">IF(F50&gt;=$C$59,$B$59,IF(F50&gt;=$C$60,$B$60,IF(F50&gt;=$C$61,$B$61,$B$62)))</f>
        <v>Grei</v>
      </c>
      <c r="H50" s="8">
        <f t="shared" ref="H50" si="2">IF(H6&lt;&gt;"",$A6,0)+IF(H7&lt;&gt;"",$A7,0)+IF(H8&lt;&gt;"",$A8,0)+IF(H9&lt;&gt;"",$A9,0)+IF(H10&lt;&gt;"",$A10,0)+IF(I6&lt;&gt;"",$A6/2,0)+IF(I7&lt;&gt;"",$A7/2,0)+IF(I8&lt;&gt;"",$A8/2,0)+IF(I9&lt;&gt;"",$A9/2, 0)+IF(I10&lt;&gt;"",$A10/2,0)</f>
        <v>0</v>
      </c>
      <c r="I50" s="13" t="str">
        <f t="shared" ref="I50:AM50" si="3">IF(H50&gt;=$C$59,$B$59,IF(H50&gt;=$C$60,$B$60,IF(H50&gt;=$C$61,$B$61,$B$62)))</f>
        <v>Dårlig</v>
      </c>
      <c r="J50" s="8">
        <f t="shared" ref="J50" si="4">IF(J6&lt;&gt;"",$A6,0)+IF(J7&lt;&gt;"",$A7,0)+IF(J8&lt;&gt;"",$A8,0)+IF(J9&lt;&gt;"",$A9,0)+IF(J10&lt;&gt;"",$A10,0)+IF(K6&lt;&gt;"",$A6/2,0)+IF(K7&lt;&gt;"",$A7/2,0)+IF(K8&lt;&gt;"",$A8/2,0)+IF(K9&lt;&gt;"",$A9/2, 0)+IF(K10&lt;&gt;"",$A10/2,0)</f>
        <v>12</v>
      </c>
      <c r="K50" s="13" t="str">
        <f t="shared" ref="K50:AM50" si="5">IF(J50&gt;=$C$59,$B$59,IF(J50&gt;=$C$60,$B$60,IF(J50&gt;=$C$61,$B$61,$B$62)))</f>
        <v>God</v>
      </c>
      <c r="L50" s="8">
        <f t="shared" ref="L50" si="6">IF(L6&lt;&gt;"",$A6,0)+IF(L7&lt;&gt;"",$A7,0)+IF(L8&lt;&gt;"",$A8,0)+IF(L9&lt;&gt;"",$A9,0)+IF(L10&lt;&gt;"",$A10,0)+IF(M6&lt;&gt;"",$A6/2,0)+IF(M7&lt;&gt;"",$A7/2,0)+IF(M8&lt;&gt;"",$A8/2,0)+IF(M9&lt;&gt;"",$A9/2, 0)+IF(M10&lt;&gt;"",$A10/2,0)</f>
        <v>8</v>
      </c>
      <c r="M50" s="13" t="str">
        <f t="shared" ref="M50:AM50" si="7">IF(L50&gt;=$C$59,$B$59,IF(L50&gt;=$C$60,$B$60,IF(L50&gt;=$C$61,$B$61,$B$62)))</f>
        <v>Svak</v>
      </c>
      <c r="N50" s="8">
        <f t="shared" ref="N50" si="8">IF(N6&lt;&gt;"",$A6,0)+IF(N7&lt;&gt;"",$A7,0)+IF(N8&lt;&gt;"",$A8,0)+IF(N9&lt;&gt;"",$A9,0)+IF(N10&lt;&gt;"",$A10,0)+IF(O6&lt;&gt;"",$A6/2,0)+IF(O7&lt;&gt;"",$A7/2,0)+IF(O8&lt;&gt;"",$A8/2,0)+IF(O9&lt;&gt;"",$A9/2, 0)+IF(O10&lt;&gt;"",$A10/2,0)</f>
        <v>12</v>
      </c>
      <c r="O50" s="13" t="str">
        <f t="shared" ref="O50:AM50" si="9">IF(N50&gt;=$C$59,$B$59,IF(N50&gt;=$C$60,$B$60,IF(N50&gt;=$C$61,$B$61,$B$62)))</f>
        <v>God</v>
      </c>
      <c r="P50" s="8">
        <f t="shared" ref="P50" si="10">IF(P6&lt;&gt;"",$A6,0)+IF(P7&lt;&gt;"",$A7,0)+IF(P8&lt;&gt;"",$A8,0)+IF(P9&lt;&gt;"",$A9,0)+IF(P10&lt;&gt;"",$A10,0)+IF(Q6&lt;&gt;"",$A6/2,0)+IF(Q7&lt;&gt;"",$A7/2,0)+IF(Q8&lt;&gt;"",$A8/2,0)+IF(Q9&lt;&gt;"",$A9/2, 0)+IF(Q10&lt;&gt;"",$A10/2,0)</f>
        <v>12</v>
      </c>
      <c r="Q50" s="13" t="str">
        <f t="shared" ref="Q50:AM50" si="11">IF(P50&gt;=$C$59,$B$59,IF(P50&gt;=$C$60,$B$60,IF(P50&gt;=$C$61,$B$61,$B$62)))</f>
        <v>God</v>
      </c>
      <c r="R50" s="8">
        <f t="shared" ref="R50" si="12">IF(R6&lt;&gt;"",$A6,0)+IF(R7&lt;&gt;"",$A7,0)+IF(R8&lt;&gt;"",$A8,0)+IF(R9&lt;&gt;"",$A9,0)+IF(R10&lt;&gt;"",$A10,0)+IF(S6&lt;&gt;"",$A6/2,0)+IF(S7&lt;&gt;"",$A7/2,0)+IF(S8&lt;&gt;"",$A8/2,0)+IF(S9&lt;&gt;"",$A9/2, 0)+IF(S10&lt;&gt;"",$A10/2,0)</f>
        <v>11</v>
      </c>
      <c r="S50" s="13" t="str">
        <f t="shared" ref="S50:AM50" si="13">IF(R50&gt;=$C$59,$B$59,IF(R50&gt;=$C$60,$B$60,IF(R50&gt;=$C$61,$B$61,$B$62)))</f>
        <v>Grei</v>
      </c>
      <c r="T50" s="8">
        <f t="shared" ref="T50" si="14">IF(T6&lt;&gt;"",$A6,0)+IF(T7&lt;&gt;"",$A7,0)+IF(T8&lt;&gt;"",$A8,0)+IF(T9&lt;&gt;"",$A9,0)+IF(T10&lt;&gt;"",$A10,0)+IF(U6&lt;&gt;"",$A6/2,0)+IF(U7&lt;&gt;"",$A7/2,0)+IF(U8&lt;&gt;"",$A8/2,0)+IF(U9&lt;&gt;"",$A9/2, 0)+IF(U10&lt;&gt;"",$A10/2,0)</f>
        <v>13</v>
      </c>
      <c r="U50" s="13" t="str">
        <f t="shared" ref="U50:AM50" si="15">IF(T50&gt;=$C$59,$B$59,IF(T50&gt;=$C$60,$B$60,IF(T50&gt;=$C$61,$B$61,$B$62)))</f>
        <v>God</v>
      </c>
      <c r="V50" s="8">
        <f t="shared" ref="V50" si="16">IF(V6&lt;&gt;"",$A6,0)+IF(V7&lt;&gt;"",$A7,0)+IF(V8&lt;&gt;"",$A8,0)+IF(V9&lt;&gt;"",$A9,0)+IF(V10&lt;&gt;"",$A10,0)+IF(W6&lt;&gt;"",$A6/2,0)+IF(W7&lt;&gt;"",$A7/2,0)+IF(W8&lt;&gt;"",$A8/2,0)+IF(W9&lt;&gt;"",$A9/2, 0)+IF(W10&lt;&gt;"",$A10/2,0)</f>
        <v>9.3333333333333339</v>
      </c>
      <c r="W50" s="13" t="str">
        <f t="shared" ref="W50:AM50" si="17">IF(V50&gt;=$C$59,$B$59,IF(V50&gt;=$C$60,$B$60,IF(V50&gt;=$C$61,$B$61,$B$62)))</f>
        <v>Grei</v>
      </c>
      <c r="X50" s="8">
        <f t="shared" ref="X50" si="18">IF(X6&lt;&gt;"",$A6,0)+IF(X7&lt;&gt;"",$A7,0)+IF(X8&lt;&gt;"",$A8,0)+IF(X9&lt;&gt;"",$A9,0)+IF(X10&lt;&gt;"",$A10,0)+IF(Y6&lt;&gt;"",$A6/2,0)+IF(Y7&lt;&gt;"",$A7/2,0)+IF(Y8&lt;&gt;"",$A8/2,0)+IF(Y9&lt;&gt;"",$A9/2, 0)+IF(Y10&lt;&gt;"",$A10/2,0)</f>
        <v>12</v>
      </c>
      <c r="Y50" s="13" t="str">
        <f t="shared" ref="Y50:AM50" si="19">IF(X50&gt;=$C$59,$B$59,IF(X50&gt;=$C$60,$B$60,IF(X50&gt;=$C$61,$B$61,$B$62)))</f>
        <v>God</v>
      </c>
      <c r="Z50" s="8">
        <f t="shared" ref="Z50" si="20">IF(Z6&lt;&gt;"",$A6,0)+IF(Z7&lt;&gt;"",$A7,0)+IF(Z8&lt;&gt;"",$A8,0)+IF(Z9&lt;&gt;"",$A9,0)+IF(Z10&lt;&gt;"",$A10,0)+IF(AA6&lt;&gt;"",$A6/2,0)+IF(AA7&lt;&gt;"",$A7/2,0)+IF(AA8&lt;&gt;"",$A8/2,0)+IF(AA9&lt;&gt;"",$A9/2, 0)+IF(AA10&lt;&gt;"",$A10/2,0)</f>
        <v>0</v>
      </c>
      <c r="AA50" s="13" t="str">
        <f t="shared" ref="AA50:AM50" si="21">IF(Z50&gt;=$C$59,$B$59,IF(Z50&gt;=$C$60,$B$60,IF(Z50&gt;=$C$61,$B$61,$B$62)))</f>
        <v>Dårlig</v>
      </c>
      <c r="AB50" s="8">
        <f t="shared" ref="AB50" si="22">IF(AB6&lt;&gt;"",$A6,0)+IF(AB7&lt;&gt;"",$A7,0)+IF(AB8&lt;&gt;"",$A8,0)+IF(AB9&lt;&gt;"",$A9,0)+IF(AB10&lt;&gt;"",$A10,0)+IF(AC6&lt;&gt;"",$A6/2,0)+IF(AC7&lt;&gt;"",$A7/2,0)+IF(AC8&lt;&gt;"",$A8/2,0)+IF(AC9&lt;&gt;"",$A9/2, 0)+IF(AC10&lt;&gt;"",$A10/2,0)</f>
        <v>9.3333333333333339</v>
      </c>
      <c r="AC50" s="13" t="str">
        <f t="shared" ref="AC50:AM50" si="23">IF(AB50&gt;=$C$59,$B$59,IF(AB50&gt;=$C$60,$B$60,IF(AB50&gt;=$C$61,$B$61,$B$62)))</f>
        <v>Grei</v>
      </c>
      <c r="AD50" s="8">
        <f t="shared" ref="AD50" si="24">IF(AD6&lt;&gt;"",$A6,0)+IF(AD7&lt;&gt;"",$A7,0)+IF(AD8&lt;&gt;"",$A8,0)+IF(AD9&lt;&gt;"",$A9,0)+IF(AD10&lt;&gt;"",$A10,0)+IF(AE6&lt;&gt;"",$A6/2,0)+IF(AE7&lt;&gt;"",$A7/2,0)+IF(AE8&lt;&gt;"",$A8/2,0)+IF(AE9&lt;&gt;"",$A9/2, 0)+IF(AE10&lt;&gt;"",$A10/2,0)</f>
        <v>6</v>
      </c>
      <c r="AE50" s="13" t="str">
        <f t="shared" ref="AE50:AM50" si="25">IF(AD50&gt;=$C$59,$B$59,IF(AD50&gt;=$C$60,$B$60,IF(AD50&gt;=$C$61,$B$61,$B$62)))</f>
        <v>Dårlig</v>
      </c>
      <c r="AF50" s="8">
        <f t="shared" ref="AF50" si="26">IF(AF6&lt;&gt;"",$A6,0)+IF(AF7&lt;&gt;"",$A7,0)+IF(AF8&lt;&gt;"",$A8,0)+IF(AF9&lt;&gt;"",$A9,0)+IF(AF10&lt;&gt;"",$A10,0)+IF(AG6&lt;&gt;"",$A6/2,0)+IF(AG7&lt;&gt;"",$A7/2,0)+IF(AG8&lt;&gt;"",$A8/2,0)+IF(AG9&lt;&gt;"",$A9/2, 0)+IF(AG10&lt;&gt;"",$A10/2,0)</f>
        <v>6</v>
      </c>
      <c r="AG50" s="13" t="str">
        <f t="shared" ref="AG50:AM50" si="27">IF(AF50&gt;=$C$59,$B$59,IF(AF50&gt;=$C$60,$B$60,IF(AF50&gt;=$C$61,$B$61,$B$62)))</f>
        <v>Dårlig</v>
      </c>
      <c r="AH50" s="8">
        <f t="shared" ref="AH50" si="28">IF(AH6&lt;&gt;"",$A6,0)+IF(AH7&lt;&gt;"",$A7,0)+IF(AH8&lt;&gt;"",$A8,0)+IF(AH9&lt;&gt;"",$A9,0)+IF(AH10&lt;&gt;"",$A10,0)+IF(AI6&lt;&gt;"",$A6/2,0)+IF(AI7&lt;&gt;"",$A7/2,0)+IF(AI8&lt;&gt;"",$A8/2,0)+IF(AI9&lt;&gt;"",$A9/2, 0)+IF(AI10&lt;&gt;"",$A10/2,0)</f>
        <v>6</v>
      </c>
      <c r="AI50" s="13" t="str">
        <f t="shared" ref="AI50:AM50" si="29">IF(AH50&gt;=$C$59,$B$59,IF(AH50&gt;=$C$60,$B$60,IF(AH50&gt;=$C$61,$B$61,$B$62)))</f>
        <v>Dårlig</v>
      </c>
      <c r="AJ50" s="8">
        <f t="shared" ref="AJ50" si="30">IF(AJ6&lt;&gt;"",$A6,0)+IF(AJ7&lt;&gt;"",$A7,0)+IF(AJ8&lt;&gt;"",$A8,0)+IF(AJ9&lt;&gt;"",$A9,0)+IF(AJ10&lt;&gt;"",$A10,0)+IF(AK6&lt;&gt;"",$A6/2,0)+IF(AK7&lt;&gt;"",$A7/2,0)+IF(AK8&lt;&gt;"",$A8/2,0)+IF(AK9&lt;&gt;"",$A9/2, 0)+IF(AK10&lt;&gt;"",$A10/2,0)</f>
        <v>6</v>
      </c>
      <c r="AK50" s="13" t="str">
        <f t="shared" ref="AK50:AM50" si="31">IF(AJ50&gt;=$C$59,$B$59,IF(AJ50&gt;=$C$60,$B$60,IF(AJ50&gt;=$C$61,$B$61,$B$62)))</f>
        <v>Dårlig</v>
      </c>
      <c r="AL50" s="8">
        <f t="shared" ref="AL50" si="32">IF(AL6&lt;&gt;"",$A6,0)+IF(AL7&lt;&gt;"",$A7,0)+IF(AL8&lt;&gt;"",$A8,0)+IF(AL9&lt;&gt;"",$A9,0)+IF(AL10&lt;&gt;"",$A10,0)+IF(AM6&lt;&gt;"",$A6/2,0)+IF(AM7&lt;&gt;"",$A7/2,0)+IF(AM8&lt;&gt;"",$A8/2,0)+IF(AM9&lt;&gt;"",$A9/2, 0)+IF(AM10&lt;&gt;"",$A10/2,0)</f>
        <v>6</v>
      </c>
      <c r="AM50" s="13" t="str">
        <f t="shared" ref="AM50" si="33">IF(AL50&gt;=$C$59,$B$59,IF(AL50&gt;=$C$60,$B$60,IF(AL50&gt;=$C$61,$B$61,$B$62)))</f>
        <v>Dårlig</v>
      </c>
    </row>
    <row r="51" spans="2:39" ht="18" customHeight="1" x14ac:dyDescent="0.25">
      <c r="C51" s="2" t="s">
        <v>23</v>
      </c>
      <c r="D51" s="8">
        <f>IF(D12&lt;&gt;"",$A12,0)+IF(D13&lt;&gt;"",$A13,0)+IF(D14&lt;&gt;"",$A14,0)+IF(D15&lt;&gt;"",$A15,0)+IF(D16&lt;&gt;"",$A16,0)+IF(D17&lt;&gt;"",$A17,0)+IF(E12&lt;&gt;"",$A12/2,0)+IF(E13&lt;&gt;"",$A13/2,0)+IF(E14&lt;&gt;"",$A14/2,0)+IF(E15&lt;&gt;"",$A15/2, 0)+IF(E16&lt;&gt;"",$A16/2,0)+IF(E17&lt;&gt;"",$A17/2,0)</f>
        <v>6</v>
      </c>
      <c r="E51" s="13" t="str">
        <f>IF(D51&gt;=$C$59,$B$59,IF(D51&gt;=$C$60,$B$60,IF(D51&gt;=$C$61,$B$61,$B$62)))</f>
        <v>Dårlig</v>
      </c>
      <c r="F51" s="8">
        <f t="shared" ref="F51" si="34">IF(F12&lt;&gt;"",$A12,0)+IF(F13&lt;&gt;"",$A13,0)+IF(F14&lt;&gt;"",$A14,0)+IF(F15&lt;&gt;"",$A15,0)+IF(F16&lt;&gt;"",$A16,0)+IF(F17&lt;&gt;"",$A17,0)+IF(G12&lt;&gt;"",$A12/2,0)+IF(G13&lt;&gt;"",$A13/2,0)+IF(G14&lt;&gt;"",$A14/2,0)+IF(G15&lt;&gt;"",$A15/2, 0)+IF(G16&lt;&gt;"",$A16/2,0)+IF(G17&lt;&gt;"",$A17/2,0)</f>
        <v>6</v>
      </c>
      <c r="G51" s="13" t="str">
        <f t="shared" ref="G51:AM51" si="35">IF(F51&gt;=$C$59,$B$59,IF(F51&gt;=$C$60,$B$60,IF(F51&gt;=$C$61,$B$61,$B$62)))</f>
        <v>Dårlig</v>
      </c>
      <c r="H51" s="8">
        <f t="shared" ref="H51" si="36">IF(H12&lt;&gt;"",$A12,0)+IF(H13&lt;&gt;"",$A13,0)+IF(H14&lt;&gt;"",$A14,0)+IF(H15&lt;&gt;"",$A15,0)+IF(H16&lt;&gt;"",$A16,0)+IF(H17&lt;&gt;"",$A17,0)+IF(I12&lt;&gt;"",$A12/2,0)+IF(I13&lt;&gt;"",$A13/2,0)+IF(I14&lt;&gt;"",$A14/2,0)+IF(I15&lt;&gt;"",$A15/2, 0)+IF(I16&lt;&gt;"",$A16/2,0)+IF(I17&lt;&gt;"",$A17/2,0)</f>
        <v>8</v>
      </c>
      <c r="I51" s="13" t="str">
        <f t="shared" ref="I51:AM51" si="37">IF(H51&gt;=$C$59,$B$59,IF(H51&gt;=$C$60,$B$60,IF(H51&gt;=$C$61,$B$61,$B$62)))</f>
        <v>Svak</v>
      </c>
      <c r="J51" s="8">
        <f t="shared" ref="J51" si="38">IF(J12&lt;&gt;"",$A12,0)+IF(J13&lt;&gt;"",$A13,0)+IF(J14&lt;&gt;"",$A14,0)+IF(J15&lt;&gt;"",$A15,0)+IF(J16&lt;&gt;"",$A16,0)+IF(J17&lt;&gt;"",$A17,0)+IF(K12&lt;&gt;"",$A12/2,0)+IF(K13&lt;&gt;"",$A13/2,0)+IF(K14&lt;&gt;"",$A14/2,0)+IF(K15&lt;&gt;"",$A15/2, 0)+IF(K16&lt;&gt;"",$A16/2,0)+IF(K17&lt;&gt;"",$A17/2,0)</f>
        <v>10</v>
      </c>
      <c r="K51" s="13" t="str">
        <f t="shared" ref="K51:AM51" si="39">IF(J51&gt;=$C$59,$B$59,IF(J51&gt;=$C$60,$B$60,IF(J51&gt;=$C$61,$B$61,$B$62)))</f>
        <v>Grei</v>
      </c>
      <c r="L51" s="8">
        <f t="shared" ref="L51" si="40">IF(L12&lt;&gt;"",$A12,0)+IF(L13&lt;&gt;"",$A13,0)+IF(L14&lt;&gt;"",$A14,0)+IF(L15&lt;&gt;"",$A15,0)+IF(L16&lt;&gt;"",$A16,0)+IF(L17&lt;&gt;"",$A17,0)+IF(M12&lt;&gt;"",$A12/2,0)+IF(M13&lt;&gt;"",$A13/2,0)+IF(M14&lt;&gt;"",$A14/2,0)+IF(M15&lt;&gt;"",$A15/2, 0)+IF(M16&lt;&gt;"",$A16/2,0)+IF(M17&lt;&gt;"",$A17/2,0)</f>
        <v>11.5</v>
      </c>
      <c r="M51" s="13" t="str">
        <f t="shared" ref="M51:AM51" si="41">IF(L51&gt;=$C$59,$B$59,IF(L51&gt;=$C$60,$B$60,IF(L51&gt;=$C$61,$B$61,$B$62)))</f>
        <v>Grei</v>
      </c>
      <c r="N51" s="8">
        <f t="shared" ref="N51" si="42">IF(N12&lt;&gt;"",$A12,0)+IF(N13&lt;&gt;"",$A13,0)+IF(N14&lt;&gt;"",$A14,0)+IF(N15&lt;&gt;"",$A15,0)+IF(N16&lt;&gt;"",$A16,0)+IF(N17&lt;&gt;"",$A17,0)+IF(O12&lt;&gt;"",$A12/2,0)+IF(O13&lt;&gt;"",$A13/2,0)+IF(O14&lt;&gt;"",$A14/2,0)+IF(O15&lt;&gt;"",$A15/2, 0)+IF(O16&lt;&gt;"",$A16/2,0)+IF(O17&lt;&gt;"",$A17/2,0)</f>
        <v>15</v>
      </c>
      <c r="O51" s="13" t="str">
        <f t="shared" ref="O51:AM51" si="43">IF(N51&gt;=$C$59,$B$59,IF(N51&gt;=$C$60,$B$60,IF(N51&gt;=$C$61,$B$61,$B$62)))</f>
        <v>God</v>
      </c>
      <c r="P51" s="8">
        <f t="shared" ref="P51" si="44">IF(P12&lt;&gt;"",$A12,0)+IF(P13&lt;&gt;"",$A13,0)+IF(P14&lt;&gt;"",$A14,0)+IF(P15&lt;&gt;"",$A15,0)+IF(P16&lt;&gt;"",$A16,0)+IF(P17&lt;&gt;"",$A17,0)+IF(Q12&lt;&gt;"",$A12/2,0)+IF(Q13&lt;&gt;"",$A13/2,0)+IF(Q14&lt;&gt;"",$A14/2,0)+IF(Q15&lt;&gt;"",$A15/2, 0)+IF(Q16&lt;&gt;"",$A16/2,0)+IF(Q17&lt;&gt;"",$A17/2,0)</f>
        <v>15</v>
      </c>
      <c r="Q51" s="13" t="str">
        <f t="shared" ref="Q51:AM51" si="45">IF(P51&gt;=$C$59,$B$59,IF(P51&gt;=$C$60,$B$60,IF(P51&gt;=$C$61,$B$61,$B$62)))</f>
        <v>God</v>
      </c>
      <c r="R51" s="8">
        <f t="shared" ref="R51" si="46">IF(R12&lt;&gt;"",$A12,0)+IF(R13&lt;&gt;"",$A13,0)+IF(R14&lt;&gt;"",$A14,0)+IF(R15&lt;&gt;"",$A15,0)+IF(R16&lt;&gt;"",$A16,0)+IF(R17&lt;&gt;"",$A17,0)+IF(S12&lt;&gt;"",$A12/2,0)+IF(S13&lt;&gt;"",$A13/2,0)+IF(S14&lt;&gt;"",$A14/2,0)+IF(S15&lt;&gt;"",$A15/2, 0)+IF(S16&lt;&gt;"",$A16/2,0)+IF(S17&lt;&gt;"",$A17/2,0)</f>
        <v>12</v>
      </c>
      <c r="S51" s="13" t="str">
        <f t="shared" ref="S51:AM51" si="47">IF(R51&gt;=$C$59,$B$59,IF(R51&gt;=$C$60,$B$60,IF(R51&gt;=$C$61,$B$61,$B$62)))</f>
        <v>God</v>
      </c>
      <c r="T51" s="8">
        <f t="shared" ref="T51" si="48">IF(T12&lt;&gt;"",$A12,0)+IF(T13&lt;&gt;"",$A13,0)+IF(T14&lt;&gt;"",$A14,0)+IF(T15&lt;&gt;"",$A15,0)+IF(T16&lt;&gt;"",$A16,0)+IF(T17&lt;&gt;"",$A17,0)+IF(U12&lt;&gt;"",$A12/2,0)+IF(U13&lt;&gt;"",$A13/2,0)+IF(U14&lt;&gt;"",$A14/2,0)+IF(U15&lt;&gt;"",$A15/2, 0)+IF(U16&lt;&gt;"",$A16/2,0)+IF(U17&lt;&gt;"",$A17/2,0)</f>
        <v>12</v>
      </c>
      <c r="U51" s="13" t="str">
        <f t="shared" ref="U51:AM51" si="49">IF(T51&gt;=$C$59,$B$59,IF(T51&gt;=$C$60,$B$60,IF(T51&gt;=$C$61,$B$61,$B$62)))</f>
        <v>God</v>
      </c>
      <c r="V51" s="8">
        <f t="shared" ref="V51" si="50">IF(V12&lt;&gt;"",$A12,0)+IF(V13&lt;&gt;"",$A13,0)+IF(V14&lt;&gt;"",$A14,0)+IF(V15&lt;&gt;"",$A15,0)+IF(V16&lt;&gt;"",$A16,0)+IF(V17&lt;&gt;"",$A17,0)+IF(W12&lt;&gt;"",$A12/2,0)+IF(W13&lt;&gt;"",$A13/2,0)+IF(W14&lt;&gt;"",$A14/2,0)+IF(W15&lt;&gt;"",$A15/2, 0)+IF(W16&lt;&gt;"",$A16/2,0)+IF(W17&lt;&gt;"",$A17/2,0)</f>
        <v>10.5</v>
      </c>
      <c r="W51" s="13" t="str">
        <f t="shared" ref="W51:AM51" si="51">IF(V51&gt;=$C$59,$B$59,IF(V51&gt;=$C$60,$B$60,IF(V51&gt;=$C$61,$B$61,$B$62)))</f>
        <v>Grei</v>
      </c>
      <c r="X51" s="8">
        <f t="shared" ref="X51" si="52">IF(X12&lt;&gt;"",$A12,0)+IF(X13&lt;&gt;"",$A13,0)+IF(X14&lt;&gt;"",$A14,0)+IF(X15&lt;&gt;"",$A15,0)+IF(X16&lt;&gt;"",$A16,0)+IF(X17&lt;&gt;"",$A17,0)+IF(Y12&lt;&gt;"",$A12/2,0)+IF(Y13&lt;&gt;"",$A13/2,0)+IF(Y14&lt;&gt;"",$A14/2,0)+IF(Y15&lt;&gt;"",$A15/2, 0)+IF(Y16&lt;&gt;"",$A16/2,0)+IF(Y17&lt;&gt;"",$A17/2,0)</f>
        <v>4</v>
      </c>
      <c r="Y51" s="13" t="str">
        <f t="shared" ref="Y51:AM51" si="53">IF(X51&gt;=$C$59,$B$59,IF(X51&gt;=$C$60,$B$60,IF(X51&gt;=$C$61,$B$61,$B$62)))</f>
        <v>Dårlig</v>
      </c>
      <c r="Z51" s="8">
        <f t="shared" ref="Z51" si="54">IF(Z12&lt;&gt;"",$A12,0)+IF(Z13&lt;&gt;"",$A13,0)+IF(Z14&lt;&gt;"",$A14,0)+IF(Z15&lt;&gt;"",$A15,0)+IF(Z16&lt;&gt;"",$A16,0)+IF(Z17&lt;&gt;"",$A17,0)+IF(AA12&lt;&gt;"",$A12/2,0)+IF(AA13&lt;&gt;"",$A13/2,0)+IF(AA14&lt;&gt;"",$A14/2,0)+IF(AA15&lt;&gt;"",$A15/2, 0)+IF(AA16&lt;&gt;"",$A16/2,0)+IF(AA17&lt;&gt;"",$A17/2,0)</f>
        <v>8</v>
      </c>
      <c r="AA51" s="13" t="str">
        <f t="shared" ref="AA51:AM51" si="55">IF(Z51&gt;=$C$59,$B$59,IF(Z51&gt;=$C$60,$B$60,IF(Z51&gt;=$C$61,$B$61,$B$62)))</f>
        <v>Svak</v>
      </c>
      <c r="AB51" s="8">
        <f t="shared" ref="AB51" si="56">IF(AB12&lt;&gt;"",$A12,0)+IF(AB13&lt;&gt;"",$A13,0)+IF(AB14&lt;&gt;"",$A14,0)+IF(AB15&lt;&gt;"",$A15,0)+IF(AB16&lt;&gt;"",$A16,0)+IF(AB17&lt;&gt;"",$A17,0)+IF(AC12&lt;&gt;"",$A12/2,0)+IF(AC13&lt;&gt;"",$A13/2,0)+IF(AC14&lt;&gt;"",$A14/2,0)+IF(AC15&lt;&gt;"",$A15/2, 0)+IF(AC16&lt;&gt;"",$A16/2,0)+IF(AC17&lt;&gt;"",$A17/2,0)</f>
        <v>10</v>
      </c>
      <c r="AC51" s="13" t="str">
        <f t="shared" ref="AC51:AM51" si="57">IF(AB51&gt;=$C$59,$B$59,IF(AB51&gt;=$C$60,$B$60,IF(AB51&gt;=$C$61,$B$61,$B$62)))</f>
        <v>Grei</v>
      </c>
      <c r="AD51" s="8">
        <f t="shared" ref="AD51" si="58">IF(AD12&lt;&gt;"",$A12,0)+IF(AD13&lt;&gt;"",$A13,0)+IF(AD14&lt;&gt;"",$A14,0)+IF(AD15&lt;&gt;"",$A15,0)+IF(AD16&lt;&gt;"",$A16,0)+IF(AD17&lt;&gt;"",$A17,0)+IF(AE12&lt;&gt;"",$A12/2,0)+IF(AE13&lt;&gt;"",$A13/2,0)+IF(AE14&lt;&gt;"",$A14/2,0)+IF(AE15&lt;&gt;"",$A15/2, 0)+IF(AE16&lt;&gt;"",$A16/2,0)+IF(AE17&lt;&gt;"",$A17/2,0)</f>
        <v>10.5</v>
      </c>
      <c r="AE51" s="13" t="str">
        <f t="shared" ref="AE51:AM51" si="59">IF(AD51&gt;=$C$59,$B$59,IF(AD51&gt;=$C$60,$B$60,IF(AD51&gt;=$C$61,$B$61,$B$62)))</f>
        <v>Grei</v>
      </c>
      <c r="AF51" s="8">
        <f t="shared" ref="AF51" si="60">IF(AF12&lt;&gt;"",$A12,0)+IF(AF13&lt;&gt;"",$A13,0)+IF(AF14&lt;&gt;"",$A14,0)+IF(AF15&lt;&gt;"",$A15,0)+IF(AF16&lt;&gt;"",$A16,0)+IF(AF17&lt;&gt;"",$A17,0)+IF(AG12&lt;&gt;"",$A12/2,0)+IF(AG13&lt;&gt;"",$A13/2,0)+IF(AG14&lt;&gt;"",$A14/2,0)+IF(AG15&lt;&gt;"",$A15/2, 0)+IF(AG16&lt;&gt;"",$A16/2,0)+IF(AG17&lt;&gt;"",$A17/2,0)</f>
        <v>12</v>
      </c>
      <c r="AG51" s="13" t="str">
        <f t="shared" ref="AG51:AM51" si="61">IF(AF51&gt;=$C$59,$B$59,IF(AF51&gt;=$C$60,$B$60,IF(AF51&gt;=$C$61,$B$61,$B$62)))</f>
        <v>God</v>
      </c>
      <c r="AH51" s="8">
        <f t="shared" ref="AH51" si="62">IF(AH12&lt;&gt;"",$A12,0)+IF(AH13&lt;&gt;"",$A13,0)+IF(AH14&lt;&gt;"",$A14,0)+IF(AH15&lt;&gt;"",$A15,0)+IF(AH16&lt;&gt;"",$A16,0)+IF(AH17&lt;&gt;"",$A17,0)+IF(AI12&lt;&gt;"",$A12/2,0)+IF(AI13&lt;&gt;"",$A13/2,0)+IF(AI14&lt;&gt;"",$A14/2,0)+IF(AI15&lt;&gt;"",$A15/2, 0)+IF(AI16&lt;&gt;"",$A16/2,0)+IF(AI17&lt;&gt;"",$A17/2,0)</f>
        <v>14.5</v>
      </c>
      <c r="AI51" s="13" t="str">
        <f t="shared" ref="AI51:AM51" si="63">IF(AH51&gt;=$C$59,$B$59,IF(AH51&gt;=$C$60,$B$60,IF(AH51&gt;=$C$61,$B$61,$B$62)))</f>
        <v>God</v>
      </c>
      <c r="AJ51" s="8">
        <f t="shared" ref="AJ51" si="64">IF(AJ12&lt;&gt;"",$A12,0)+IF(AJ13&lt;&gt;"",$A13,0)+IF(AJ14&lt;&gt;"",$A14,0)+IF(AJ15&lt;&gt;"",$A15,0)+IF(AJ16&lt;&gt;"",$A16,0)+IF(AJ17&lt;&gt;"",$A17,0)+IF(AK12&lt;&gt;"",$A12/2,0)+IF(AK13&lt;&gt;"",$A13/2,0)+IF(AK14&lt;&gt;"",$A14/2,0)+IF(AK15&lt;&gt;"",$A15/2, 0)+IF(AK16&lt;&gt;"",$A16/2,0)+IF(AK17&lt;&gt;"",$A17/2,0)</f>
        <v>11.5</v>
      </c>
      <c r="AK51" s="13" t="str">
        <f t="shared" ref="AK51:AM51" si="65">IF(AJ51&gt;=$C$59,$B$59,IF(AJ51&gt;=$C$60,$B$60,IF(AJ51&gt;=$C$61,$B$61,$B$62)))</f>
        <v>Grei</v>
      </c>
      <c r="AL51" s="8">
        <f t="shared" ref="AL51" si="66">IF(AL12&lt;&gt;"",$A12,0)+IF(AL13&lt;&gt;"",$A13,0)+IF(AL14&lt;&gt;"",$A14,0)+IF(AL15&lt;&gt;"",$A15,0)+IF(AL16&lt;&gt;"",$A16,0)+IF(AL17&lt;&gt;"",$A17,0)+IF(AM12&lt;&gt;"",$A12/2,0)+IF(AM13&lt;&gt;"",$A13/2,0)+IF(AM14&lt;&gt;"",$A14/2,0)+IF(AM15&lt;&gt;"",$A15/2, 0)+IF(AM16&lt;&gt;"",$A16/2,0)+IF(AM17&lt;&gt;"",$A17/2,0)</f>
        <v>5</v>
      </c>
      <c r="AM51" s="13" t="str">
        <f t="shared" ref="AM51" si="67">IF(AL51&gt;=$C$59,$B$59,IF(AL51&gt;=$C$60,$B$60,IF(AL51&gt;=$C$61,$B$61,$B$62)))</f>
        <v>Dårlig</v>
      </c>
    </row>
    <row r="52" spans="2:39" ht="18" customHeight="1" x14ac:dyDescent="0.25">
      <c r="C52" s="2" t="s">
        <v>32</v>
      </c>
      <c r="D52" s="8">
        <f>IF(D19&lt;&gt;"",$A19,0)+IF(D20&lt;&gt;"",$A20,0)+IF(D21&lt;&gt;"",$A21,0)+IF(D22&lt;&gt;"",$A22,0)+IF(D23&lt;&gt;"",$A23,0)+IF(D24&lt;&gt;"",$A24,0)+IF(D25&lt;&gt;"",$A25,0)+IF(D26&lt;&gt;"",$A26,0)+IF(E19&lt;&gt;"",$A19/2,0)+IF(E20&lt;&gt;"",$A20/2,0)+IF(E21&lt;&gt;"",$A21/2,0)+IF(E22&lt;&gt;"",$A22/2, 0)+IF(E23&lt;&gt;"",$A23/2,0)+IF(E24&lt;&gt;"",$A24/2,0)+IF(E25&lt;&gt;"",$A25/2, 0)+IF(E26&lt;&gt;"",$A26/2,0)</f>
        <v>11.75</v>
      </c>
      <c r="E52" s="13" t="str">
        <f>IF(D52&gt;=$C$59,$B$59,IF(D52&gt;=$C$60,$B$60,IF(D52&gt;=$C$61,$B$61,$B$62)))</f>
        <v>Grei</v>
      </c>
      <c r="F52" s="8">
        <f t="shared" ref="F52" si="68">IF(F19&lt;&gt;"",$A19,0)+IF(F20&lt;&gt;"",$A20,0)+IF(F21&lt;&gt;"",$A21,0)+IF(F22&lt;&gt;"",$A22,0)+IF(F23&lt;&gt;"",$A23,0)+IF(F24&lt;&gt;"",$A24,0)+IF(F25&lt;&gt;"",$A25,0)+IF(F26&lt;&gt;"",$A26,0)+IF(G19&lt;&gt;"",$A19/2,0)+IF(G20&lt;&gt;"",$A20/2,0)+IF(G21&lt;&gt;"",$A21/2,0)+IF(G22&lt;&gt;"",$A22/2, 0)+IF(G23&lt;&gt;"",$A23/2,0)+IF(G24&lt;&gt;"",$A24/2,0)+IF(G25&lt;&gt;"",$A25/2, 0)+IF(G26&lt;&gt;"",$A26/2,0)</f>
        <v>9.75</v>
      </c>
      <c r="G52" s="13" t="str">
        <f t="shared" ref="G52:AM52" si="69">IF(F52&gt;=$C$59,$B$59,IF(F52&gt;=$C$60,$B$60,IF(F52&gt;=$C$61,$B$61,$B$62)))</f>
        <v>Grei</v>
      </c>
      <c r="H52" s="8">
        <f t="shared" ref="H52" si="70">IF(H19&lt;&gt;"",$A19,0)+IF(H20&lt;&gt;"",$A20,0)+IF(H21&lt;&gt;"",$A21,0)+IF(H22&lt;&gt;"",$A22,0)+IF(H23&lt;&gt;"",$A23,0)+IF(H24&lt;&gt;"",$A24,0)+IF(H25&lt;&gt;"",$A25,0)+IF(H26&lt;&gt;"",$A26,0)+IF(I19&lt;&gt;"",$A19/2,0)+IF(I20&lt;&gt;"",$A20/2,0)+IF(I21&lt;&gt;"",$A21/2,0)+IF(I22&lt;&gt;"",$A22/2, 0)+IF(I23&lt;&gt;"",$A23/2,0)+IF(I24&lt;&gt;"",$A24/2,0)+IF(I25&lt;&gt;"",$A25/2, 0)+IF(I26&lt;&gt;"",$A26/2,0)</f>
        <v>6</v>
      </c>
      <c r="I52" s="13" t="str">
        <f t="shared" ref="I52:AM52" si="71">IF(H52&gt;=$C$59,$B$59,IF(H52&gt;=$C$60,$B$60,IF(H52&gt;=$C$61,$B$61,$B$62)))</f>
        <v>Dårlig</v>
      </c>
      <c r="J52" s="8">
        <f t="shared" ref="J52" si="72">IF(J19&lt;&gt;"",$A19,0)+IF(J20&lt;&gt;"",$A20,0)+IF(J21&lt;&gt;"",$A21,0)+IF(J22&lt;&gt;"",$A22,0)+IF(J23&lt;&gt;"",$A23,0)+IF(J24&lt;&gt;"",$A24,0)+IF(J25&lt;&gt;"",$A25,0)+IF(J26&lt;&gt;"",$A26,0)+IF(K19&lt;&gt;"",$A19/2,0)+IF(K20&lt;&gt;"",$A20/2,0)+IF(K21&lt;&gt;"",$A21/2,0)+IF(K22&lt;&gt;"",$A22/2, 0)+IF(K23&lt;&gt;"",$A23/2,0)+IF(K24&lt;&gt;"",$A24/2,0)+IF(K25&lt;&gt;"",$A25/2, 0)+IF(K26&lt;&gt;"",$A26/2,0)</f>
        <v>11.75</v>
      </c>
      <c r="K52" s="13" t="str">
        <f t="shared" ref="K52:AM52" si="73">IF(J52&gt;=$C$59,$B$59,IF(J52&gt;=$C$60,$B$60,IF(J52&gt;=$C$61,$B$61,$B$62)))</f>
        <v>Grei</v>
      </c>
      <c r="L52" s="8">
        <f t="shared" ref="L52" si="74">IF(L19&lt;&gt;"",$A19,0)+IF(L20&lt;&gt;"",$A20,0)+IF(L21&lt;&gt;"",$A21,0)+IF(L22&lt;&gt;"",$A22,0)+IF(L23&lt;&gt;"",$A23,0)+IF(L24&lt;&gt;"",$A24,0)+IF(L25&lt;&gt;"",$A25,0)+IF(L26&lt;&gt;"",$A26,0)+IF(M19&lt;&gt;"",$A19/2,0)+IF(M20&lt;&gt;"",$A20/2,0)+IF(M21&lt;&gt;"",$A21/2,0)+IF(M22&lt;&gt;"",$A22/2, 0)+IF(M23&lt;&gt;"",$A23/2,0)+IF(M24&lt;&gt;"",$A24/2,0)+IF(M25&lt;&gt;"",$A25/2, 0)+IF(M26&lt;&gt;"",$A26/2,0)</f>
        <v>14.5</v>
      </c>
      <c r="M52" s="13" t="str">
        <f t="shared" ref="M52:AM52" si="75">IF(L52&gt;=$C$59,$B$59,IF(L52&gt;=$C$60,$B$60,IF(L52&gt;=$C$61,$B$61,$B$62)))</f>
        <v>God</v>
      </c>
      <c r="N52" s="8">
        <f t="shared" ref="N52" si="76">IF(N19&lt;&gt;"",$A19,0)+IF(N20&lt;&gt;"",$A20,0)+IF(N21&lt;&gt;"",$A21,0)+IF(N22&lt;&gt;"",$A22,0)+IF(N23&lt;&gt;"",$A23,0)+IF(N24&lt;&gt;"",$A24,0)+IF(N25&lt;&gt;"",$A25,0)+IF(N26&lt;&gt;"",$A26,0)+IF(O19&lt;&gt;"",$A19/2,0)+IF(O20&lt;&gt;"",$A20/2,0)+IF(O21&lt;&gt;"",$A21/2,0)+IF(O22&lt;&gt;"",$A22/2, 0)+IF(O23&lt;&gt;"",$A23/2,0)+IF(O24&lt;&gt;"",$A24/2,0)+IF(O25&lt;&gt;"",$A25/2, 0)+IF(O26&lt;&gt;"",$A26/2,0)</f>
        <v>15</v>
      </c>
      <c r="O52" s="13" t="str">
        <f t="shared" ref="O52:AM52" si="77">IF(N52&gt;=$C$59,$B$59,IF(N52&gt;=$C$60,$B$60,IF(N52&gt;=$C$61,$B$61,$B$62)))</f>
        <v>God</v>
      </c>
      <c r="P52" s="8">
        <f t="shared" ref="P52" si="78">IF(P19&lt;&gt;"",$A19,0)+IF(P20&lt;&gt;"",$A20,0)+IF(P21&lt;&gt;"",$A21,0)+IF(P22&lt;&gt;"",$A22,0)+IF(P23&lt;&gt;"",$A23,0)+IF(P24&lt;&gt;"",$A24,0)+IF(P25&lt;&gt;"",$A25,0)+IF(P26&lt;&gt;"",$A26,0)+IF(Q19&lt;&gt;"",$A19/2,0)+IF(Q20&lt;&gt;"",$A20/2,0)+IF(Q21&lt;&gt;"",$A21/2,0)+IF(Q22&lt;&gt;"",$A22/2, 0)+IF(Q23&lt;&gt;"",$A23/2,0)+IF(Q24&lt;&gt;"",$A24/2,0)+IF(Q25&lt;&gt;"",$A25/2, 0)+IF(Q26&lt;&gt;"",$A26/2,0)</f>
        <v>14.25</v>
      </c>
      <c r="Q52" s="13" t="str">
        <f t="shared" ref="Q52:AM52" si="79">IF(P52&gt;=$C$59,$B$59,IF(P52&gt;=$C$60,$B$60,IF(P52&gt;=$C$61,$B$61,$B$62)))</f>
        <v>God</v>
      </c>
      <c r="R52" s="8">
        <f t="shared" ref="R52" si="80">IF(R19&lt;&gt;"",$A19,0)+IF(R20&lt;&gt;"",$A20,0)+IF(R21&lt;&gt;"",$A21,0)+IF(R22&lt;&gt;"",$A22,0)+IF(R23&lt;&gt;"",$A23,0)+IF(R24&lt;&gt;"",$A24,0)+IF(R25&lt;&gt;"",$A25,0)+IF(R26&lt;&gt;"",$A26,0)+IF(S19&lt;&gt;"",$A19/2,0)+IF(S20&lt;&gt;"",$A20/2,0)+IF(S21&lt;&gt;"",$A21/2,0)+IF(S22&lt;&gt;"",$A22/2, 0)+IF(S23&lt;&gt;"",$A23/2,0)+IF(S24&lt;&gt;"",$A24/2,0)+IF(S25&lt;&gt;"",$A25/2, 0)+IF(S26&lt;&gt;"",$A26/2,0)</f>
        <v>12.75</v>
      </c>
      <c r="S52" s="13" t="str">
        <f t="shared" ref="S52:AM52" si="81">IF(R52&gt;=$C$59,$B$59,IF(R52&gt;=$C$60,$B$60,IF(R52&gt;=$C$61,$B$61,$B$62)))</f>
        <v>God</v>
      </c>
      <c r="T52" s="8">
        <f t="shared" ref="T52" si="82">IF(T19&lt;&gt;"",$A19,0)+IF(T20&lt;&gt;"",$A20,0)+IF(T21&lt;&gt;"",$A21,0)+IF(T22&lt;&gt;"",$A22,0)+IF(T23&lt;&gt;"",$A23,0)+IF(T24&lt;&gt;"",$A24,0)+IF(T25&lt;&gt;"",$A25,0)+IF(T26&lt;&gt;"",$A26,0)+IF(U19&lt;&gt;"",$A19/2,0)+IF(U20&lt;&gt;"",$A20/2,0)+IF(U21&lt;&gt;"",$A21/2,0)+IF(U22&lt;&gt;"",$A22/2, 0)+IF(U23&lt;&gt;"",$A23/2,0)+IF(U24&lt;&gt;"",$A24/2,0)+IF(U25&lt;&gt;"",$A25/2, 0)+IF(U26&lt;&gt;"",$A26/2,0)</f>
        <v>12.75</v>
      </c>
      <c r="U52" s="13" t="str">
        <f t="shared" ref="U52:AM52" si="83">IF(T52&gt;=$C$59,$B$59,IF(T52&gt;=$C$60,$B$60,IF(T52&gt;=$C$61,$B$61,$B$62)))</f>
        <v>God</v>
      </c>
      <c r="V52" s="8">
        <f t="shared" ref="V52" si="84">IF(V19&lt;&gt;"",$A19,0)+IF(V20&lt;&gt;"",$A20,0)+IF(V21&lt;&gt;"",$A21,0)+IF(V22&lt;&gt;"",$A22,0)+IF(V23&lt;&gt;"",$A23,0)+IF(V24&lt;&gt;"",$A24,0)+IF(V25&lt;&gt;"",$A25,0)+IF(V26&lt;&gt;"",$A26,0)+IF(W19&lt;&gt;"",$A19/2,0)+IF(W20&lt;&gt;"",$A20/2,0)+IF(W21&lt;&gt;"",$A21/2,0)+IF(W22&lt;&gt;"",$A22/2, 0)+IF(W23&lt;&gt;"",$A23/2,0)+IF(W24&lt;&gt;"",$A24/2,0)+IF(W25&lt;&gt;"",$A25/2, 0)+IF(W26&lt;&gt;"",$A26/2,0)</f>
        <v>6.5</v>
      </c>
      <c r="W52" s="13" t="str">
        <f t="shared" ref="W52:AM52" si="85">IF(V52&gt;=$C$59,$B$59,IF(V52&gt;=$C$60,$B$60,IF(V52&gt;=$C$61,$B$61,$B$62)))</f>
        <v>Dårlig</v>
      </c>
      <c r="X52" s="8">
        <f t="shared" ref="X52" si="86">IF(X19&lt;&gt;"",$A19,0)+IF(X20&lt;&gt;"",$A20,0)+IF(X21&lt;&gt;"",$A21,0)+IF(X22&lt;&gt;"",$A22,0)+IF(X23&lt;&gt;"",$A23,0)+IF(X24&lt;&gt;"",$A24,0)+IF(X25&lt;&gt;"",$A25,0)+IF(X26&lt;&gt;"",$A26,0)+IF(Y19&lt;&gt;"",$A19/2,0)+IF(Y20&lt;&gt;"",$A20/2,0)+IF(Y21&lt;&gt;"",$A21/2,0)+IF(Y22&lt;&gt;"",$A22/2, 0)+IF(Y23&lt;&gt;"",$A23/2,0)+IF(Y24&lt;&gt;"",$A24/2,0)+IF(Y25&lt;&gt;"",$A25/2, 0)+IF(Y26&lt;&gt;"",$A26/2,0)</f>
        <v>6.75</v>
      </c>
      <c r="Y52" s="13" t="str">
        <f t="shared" ref="Y52:AM52" si="87">IF(X52&gt;=$C$59,$B$59,IF(X52&gt;=$C$60,$B$60,IF(X52&gt;=$C$61,$B$61,$B$62)))</f>
        <v>Dårlig</v>
      </c>
      <c r="Z52" s="8">
        <f t="shared" ref="Z52" si="88">IF(Z19&lt;&gt;"",$A19,0)+IF(Z20&lt;&gt;"",$A20,0)+IF(Z21&lt;&gt;"",$A21,0)+IF(Z22&lt;&gt;"",$A22,0)+IF(Z23&lt;&gt;"",$A23,0)+IF(Z24&lt;&gt;"",$A24,0)+IF(Z25&lt;&gt;"",$A25,0)+IF(Z26&lt;&gt;"",$A26,0)+IF(AA19&lt;&gt;"",$A19/2,0)+IF(AA20&lt;&gt;"",$A20/2,0)+IF(AA21&lt;&gt;"",$A21/2,0)+IF(AA22&lt;&gt;"",$A22/2, 0)+IF(AA23&lt;&gt;"",$A23/2,0)+IF(AA24&lt;&gt;"",$A24/2,0)+IF(AA25&lt;&gt;"",$A25/2, 0)+IF(AA26&lt;&gt;"",$A26/2,0)</f>
        <v>7</v>
      </c>
      <c r="AA52" s="13" t="str">
        <f t="shared" ref="AA52:AM52" si="89">IF(Z52&gt;=$C$59,$B$59,IF(Z52&gt;=$C$60,$B$60,IF(Z52&gt;=$C$61,$B$61,$B$62)))</f>
        <v>Svak</v>
      </c>
      <c r="AB52" s="8">
        <f t="shared" ref="AB52" si="90">IF(AB19&lt;&gt;"",$A19,0)+IF(AB20&lt;&gt;"",$A20,0)+IF(AB21&lt;&gt;"",$A21,0)+IF(AB22&lt;&gt;"",$A22,0)+IF(AB23&lt;&gt;"",$A23,0)+IF(AB24&lt;&gt;"",$A24,0)+IF(AB25&lt;&gt;"",$A25,0)+IF(AB26&lt;&gt;"",$A26,0)+IF(AC19&lt;&gt;"",$A19/2,0)+IF(AC20&lt;&gt;"",$A20/2,0)+IF(AC21&lt;&gt;"",$A21/2,0)+IF(AC22&lt;&gt;"",$A22/2, 0)+IF(AC23&lt;&gt;"",$A23/2,0)+IF(AC24&lt;&gt;"",$A24/2,0)+IF(AC25&lt;&gt;"",$A25/2, 0)+IF(AC26&lt;&gt;"",$A26/2,0)</f>
        <v>7.5</v>
      </c>
      <c r="AC52" s="13" t="str">
        <f t="shared" ref="AC52:AM52" si="91">IF(AB52&gt;=$C$59,$B$59,IF(AB52&gt;=$C$60,$B$60,IF(AB52&gt;=$C$61,$B$61,$B$62)))</f>
        <v>Svak</v>
      </c>
      <c r="AD52" s="8">
        <f t="shared" ref="AD52" si="92">IF(AD19&lt;&gt;"",$A19,0)+IF(AD20&lt;&gt;"",$A20,0)+IF(AD21&lt;&gt;"",$A21,0)+IF(AD22&lt;&gt;"",$A22,0)+IF(AD23&lt;&gt;"",$A23,0)+IF(AD24&lt;&gt;"",$A24,0)+IF(AD25&lt;&gt;"",$A25,0)+IF(AD26&lt;&gt;"",$A26,0)+IF(AE19&lt;&gt;"",$A19/2,0)+IF(AE20&lt;&gt;"",$A20/2,0)+IF(AE21&lt;&gt;"",$A21/2,0)+IF(AE22&lt;&gt;"",$A22/2, 0)+IF(AE23&lt;&gt;"",$A23/2,0)+IF(AE24&lt;&gt;"",$A24/2,0)+IF(AE25&lt;&gt;"",$A25/2, 0)+IF(AE26&lt;&gt;"",$A26/2,0)</f>
        <v>9.5</v>
      </c>
      <c r="AE52" s="13" t="str">
        <f t="shared" ref="AE52:AM52" si="93">IF(AD52&gt;=$C$59,$B$59,IF(AD52&gt;=$C$60,$B$60,IF(AD52&gt;=$C$61,$B$61,$B$62)))</f>
        <v>Grei</v>
      </c>
      <c r="AF52" s="8">
        <f t="shared" ref="AF52" si="94">IF(AF19&lt;&gt;"",$A19,0)+IF(AF20&lt;&gt;"",$A20,0)+IF(AF21&lt;&gt;"",$A21,0)+IF(AF22&lt;&gt;"",$A22,0)+IF(AF23&lt;&gt;"",$A23,0)+IF(AF24&lt;&gt;"",$A24,0)+IF(AF25&lt;&gt;"",$A25,0)+IF(AF26&lt;&gt;"",$A26,0)+IF(AG19&lt;&gt;"",$A19/2,0)+IF(AG20&lt;&gt;"",$A20/2,0)+IF(AG21&lt;&gt;"",$A21/2,0)+IF(AG22&lt;&gt;"",$A22/2, 0)+IF(AG23&lt;&gt;"",$A23/2,0)+IF(AG24&lt;&gt;"",$A24/2,0)+IF(AG25&lt;&gt;"",$A25/2, 0)+IF(AG26&lt;&gt;"",$A26/2,0)</f>
        <v>14</v>
      </c>
      <c r="AG52" s="13" t="str">
        <f t="shared" ref="AG52:AM52" si="95">IF(AF52&gt;=$C$59,$B$59,IF(AF52&gt;=$C$60,$B$60,IF(AF52&gt;=$C$61,$B$61,$B$62)))</f>
        <v>God</v>
      </c>
      <c r="AH52" s="8">
        <f t="shared" ref="AH52" si="96">IF(AH19&lt;&gt;"",$A19,0)+IF(AH20&lt;&gt;"",$A20,0)+IF(AH21&lt;&gt;"",$A21,0)+IF(AH22&lt;&gt;"",$A22,0)+IF(AH23&lt;&gt;"",$A23,0)+IF(AH24&lt;&gt;"",$A24,0)+IF(AH25&lt;&gt;"",$A25,0)+IF(AH26&lt;&gt;"",$A26,0)+IF(AI19&lt;&gt;"",$A19/2,0)+IF(AI20&lt;&gt;"",$A20/2,0)+IF(AI21&lt;&gt;"",$A21/2,0)+IF(AI22&lt;&gt;"",$A22/2, 0)+IF(AI23&lt;&gt;"",$A23/2,0)+IF(AI24&lt;&gt;"",$A24/2,0)+IF(AI25&lt;&gt;"",$A25/2, 0)+IF(AI26&lt;&gt;"",$A26/2,0)</f>
        <v>12.75</v>
      </c>
      <c r="AI52" s="13" t="str">
        <f t="shared" ref="AI52:AM52" si="97">IF(AH52&gt;=$C$59,$B$59,IF(AH52&gt;=$C$60,$B$60,IF(AH52&gt;=$C$61,$B$61,$B$62)))</f>
        <v>God</v>
      </c>
      <c r="AJ52" s="8">
        <f t="shared" ref="AJ52" si="98">IF(AJ19&lt;&gt;"",$A19,0)+IF(AJ20&lt;&gt;"",$A20,0)+IF(AJ21&lt;&gt;"",$A21,0)+IF(AJ22&lt;&gt;"",$A22,0)+IF(AJ23&lt;&gt;"",$A23,0)+IF(AJ24&lt;&gt;"",$A24,0)+IF(AJ25&lt;&gt;"",$A25,0)+IF(AJ26&lt;&gt;"",$A26,0)+IF(AK19&lt;&gt;"",$A19/2,0)+IF(AK20&lt;&gt;"",$A20/2,0)+IF(AK21&lt;&gt;"",$A21/2,0)+IF(AK22&lt;&gt;"",$A22/2, 0)+IF(AK23&lt;&gt;"",$A23/2,0)+IF(AK24&lt;&gt;"",$A24/2,0)+IF(AK25&lt;&gt;"",$A25/2, 0)+IF(AK26&lt;&gt;"",$A26/2,0)</f>
        <v>5.75</v>
      </c>
      <c r="AK52" s="13" t="str">
        <f t="shared" ref="AK52:AM52" si="99">IF(AJ52&gt;=$C$59,$B$59,IF(AJ52&gt;=$C$60,$B$60,IF(AJ52&gt;=$C$61,$B$61,$B$62)))</f>
        <v>Dårlig</v>
      </c>
      <c r="AL52" s="8">
        <f t="shared" ref="AL52" si="100">IF(AL19&lt;&gt;"",$A19,0)+IF(AL20&lt;&gt;"",$A20,0)+IF(AL21&lt;&gt;"",$A21,0)+IF(AL22&lt;&gt;"",$A22,0)+IF(AL23&lt;&gt;"",$A23,0)+IF(AL24&lt;&gt;"",$A24,0)+IF(AL25&lt;&gt;"",$A25,0)+IF(AL26&lt;&gt;"",$A26,0)+IF(AM19&lt;&gt;"",$A19/2,0)+IF(AM20&lt;&gt;"",$A20/2,0)+IF(AM21&lt;&gt;"",$A21/2,0)+IF(AM22&lt;&gt;"",$A22/2, 0)+IF(AM23&lt;&gt;"",$A23/2,0)+IF(AM24&lt;&gt;"",$A24/2,0)+IF(AM25&lt;&gt;"",$A25/2, 0)+IF(AM26&lt;&gt;"",$A26/2,0)</f>
        <v>5</v>
      </c>
      <c r="AM52" s="13" t="str">
        <f t="shared" ref="AM52" si="101">IF(AL52&gt;=$C$59,$B$59,IF(AL52&gt;=$C$60,$B$60,IF(AL52&gt;=$C$61,$B$61,$B$62)))</f>
        <v>Dårlig</v>
      </c>
    </row>
    <row r="53" spans="2:39" ht="18" customHeight="1" x14ac:dyDescent="0.25">
      <c r="C53" s="2" t="s">
        <v>44</v>
      </c>
      <c r="D53" s="8">
        <f>IF(D28&lt;&gt;"",$A28,0)+IF(D29&lt;&gt;"",$A29,0)+IF(D30&lt;&gt;"",$A30,0)+IF(D31&lt;&gt;"",$A31,0)+IF(E28&lt;&gt;"",$A28/2,0)+IF(E29&lt;&gt;"",$A29/2,0)+IF(E30&lt;&gt;"",$A30/2,0)+IF(E31&lt;&gt;"",$A31/2, 0)</f>
        <v>1</v>
      </c>
      <c r="E53" s="13" t="str">
        <f>IF(D53&gt;=$C$59,$B$59,IF(D53&gt;=$C$60,$B$60,IF(D53&gt;=$C$61,$B$61,$B$62)))</f>
        <v>Dårlig</v>
      </c>
      <c r="F53" s="8">
        <f t="shared" ref="F53:AM53" si="102">IF(F28&lt;&gt;"",$A28,0)+IF(F29&lt;&gt;"",$A29,0)+IF(F30&lt;&gt;"",$A30,0)+IF(F31&lt;&gt;"",$A31,0)+IF(G28&lt;&gt;"",$A28/2,0)+IF(G29&lt;&gt;"",$A29/2,0)+IF(G30&lt;&gt;"",$A30/2,0)+IF(G31&lt;&gt;"",$A31/2, 0)</f>
        <v>0</v>
      </c>
      <c r="G53" s="13" t="str">
        <f t="shared" ref="G53:AM53" si="103">IF(F53&gt;=$C$59,$B$59,IF(F53&gt;=$C$60,$B$60,IF(F53&gt;=$C$61,$B$61,$B$62)))</f>
        <v>Dårlig</v>
      </c>
      <c r="H53" s="8">
        <f t="shared" ref="H53:AM53" si="104">IF(H28&lt;&gt;"",$A28,0)+IF(H29&lt;&gt;"",$A29,0)+IF(H30&lt;&gt;"",$A30,0)+IF(H31&lt;&gt;"",$A31,0)+IF(I28&lt;&gt;"",$A28/2,0)+IF(I29&lt;&gt;"",$A29/2,0)+IF(I30&lt;&gt;"",$A30/2,0)+IF(I31&lt;&gt;"",$A31/2, 0)</f>
        <v>1</v>
      </c>
      <c r="I53" s="13" t="str">
        <f t="shared" ref="I53:AM53" si="105">IF(H53&gt;=$C$59,$B$59,IF(H53&gt;=$C$60,$B$60,IF(H53&gt;=$C$61,$B$61,$B$62)))</f>
        <v>Dårlig</v>
      </c>
      <c r="J53" s="8">
        <f t="shared" ref="J53:AM53" si="106">IF(J28&lt;&gt;"",$A28,0)+IF(J29&lt;&gt;"",$A29,0)+IF(J30&lt;&gt;"",$A30,0)+IF(J31&lt;&gt;"",$A31,0)+IF(K28&lt;&gt;"",$A28/2,0)+IF(K29&lt;&gt;"",$A29/2,0)+IF(K30&lt;&gt;"",$A30/2,0)+IF(K31&lt;&gt;"",$A31/2, 0)</f>
        <v>0</v>
      </c>
      <c r="K53" s="13" t="str">
        <f t="shared" ref="K53:AM53" si="107">IF(J53&gt;=$C$59,$B$59,IF(J53&gt;=$C$60,$B$60,IF(J53&gt;=$C$61,$B$61,$B$62)))</f>
        <v>Dårlig</v>
      </c>
      <c r="L53" s="8">
        <f t="shared" ref="L53:AM53" si="108">IF(L28&lt;&gt;"",$A28,0)+IF(L29&lt;&gt;"",$A29,0)+IF(L30&lt;&gt;"",$A30,0)+IF(L31&lt;&gt;"",$A31,0)+IF(M28&lt;&gt;"",$A28/2,0)+IF(M29&lt;&gt;"",$A29/2,0)+IF(M30&lt;&gt;"",$A30/2,0)+IF(M31&lt;&gt;"",$A31/2, 0)</f>
        <v>1</v>
      </c>
      <c r="M53" s="13" t="str">
        <f t="shared" ref="M53:AM53" si="109">IF(L53&gt;=$C$59,$B$59,IF(L53&gt;=$C$60,$B$60,IF(L53&gt;=$C$61,$B$61,$B$62)))</f>
        <v>Dårlig</v>
      </c>
      <c r="N53" s="8">
        <f t="shared" ref="N53:AM53" si="110">IF(N28&lt;&gt;"",$A28,0)+IF(N29&lt;&gt;"",$A29,0)+IF(N30&lt;&gt;"",$A30,0)+IF(N31&lt;&gt;"",$A31,0)+IF(O28&lt;&gt;"",$A28/2,0)+IF(O29&lt;&gt;"",$A29/2,0)+IF(O30&lt;&gt;"",$A30/2,0)+IF(O31&lt;&gt;"",$A31/2, 0)</f>
        <v>15</v>
      </c>
      <c r="O53" s="13" t="str">
        <f t="shared" ref="O53:AM53" si="111">IF(N53&gt;=$C$59,$B$59,IF(N53&gt;=$C$60,$B$60,IF(N53&gt;=$C$61,$B$61,$B$62)))</f>
        <v>God</v>
      </c>
      <c r="P53" s="8">
        <f t="shared" ref="P53:AM53" si="112">IF(P28&lt;&gt;"",$A28,0)+IF(P29&lt;&gt;"",$A29,0)+IF(P30&lt;&gt;"",$A30,0)+IF(P31&lt;&gt;"",$A31,0)+IF(Q28&lt;&gt;"",$A28/2,0)+IF(Q29&lt;&gt;"",$A29/2,0)+IF(Q30&lt;&gt;"",$A30/2,0)+IF(Q31&lt;&gt;"",$A31/2, 0)</f>
        <v>15</v>
      </c>
      <c r="Q53" s="13" t="str">
        <f t="shared" ref="Q53:AM53" si="113">IF(P53&gt;=$C$59,$B$59,IF(P53&gt;=$C$60,$B$60,IF(P53&gt;=$C$61,$B$61,$B$62)))</f>
        <v>God</v>
      </c>
      <c r="R53" s="8">
        <f t="shared" ref="R53:AM53" si="114">IF(R28&lt;&gt;"",$A28,0)+IF(R29&lt;&gt;"",$A29,0)+IF(R30&lt;&gt;"",$A30,0)+IF(R31&lt;&gt;"",$A31,0)+IF(S28&lt;&gt;"",$A28/2,0)+IF(S29&lt;&gt;"",$A29/2,0)+IF(S30&lt;&gt;"",$A30/2,0)+IF(S31&lt;&gt;"",$A31/2, 0)</f>
        <v>1.5</v>
      </c>
      <c r="S53" s="13" t="str">
        <f t="shared" ref="S53:AM53" si="115">IF(R53&gt;=$C$59,$B$59,IF(R53&gt;=$C$60,$B$60,IF(R53&gt;=$C$61,$B$61,$B$62)))</f>
        <v>Dårlig</v>
      </c>
      <c r="T53" s="8">
        <f t="shared" ref="T53:AM53" si="116">IF(T28&lt;&gt;"",$A28,0)+IF(T29&lt;&gt;"",$A29,0)+IF(T30&lt;&gt;"",$A30,0)+IF(T31&lt;&gt;"",$A31,0)+IF(U28&lt;&gt;"",$A28/2,0)+IF(U29&lt;&gt;"",$A29/2,0)+IF(U30&lt;&gt;"",$A30/2,0)+IF(U31&lt;&gt;"",$A31/2, 0)</f>
        <v>15</v>
      </c>
      <c r="U53" s="13" t="str">
        <f t="shared" ref="U53:AM53" si="117">IF(T53&gt;=$C$59,$B$59,IF(T53&gt;=$C$60,$B$60,IF(T53&gt;=$C$61,$B$61,$B$62)))</f>
        <v>God</v>
      </c>
      <c r="V53" s="8">
        <f t="shared" ref="V53:AM53" si="118">IF(V28&lt;&gt;"",$A28,0)+IF(V29&lt;&gt;"",$A29,0)+IF(V30&lt;&gt;"",$A30,0)+IF(V31&lt;&gt;"",$A31,0)+IF(W28&lt;&gt;"",$A28/2,0)+IF(W29&lt;&gt;"",$A29/2,0)+IF(W30&lt;&gt;"",$A30/2,0)+IF(W31&lt;&gt;"",$A31/2, 0)</f>
        <v>1</v>
      </c>
      <c r="W53" s="13" t="str">
        <f t="shared" ref="W53:AM53" si="119">IF(V53&gt;=$C$59,$B$59,IF(V53&gt;=$C$60,$B$60,IF(V53&gt;=$C$61,$B$61,$B$62)))</f>
        <v>Dårlig</v>
      </c>
      <c r="X53" s="8">
        <f t="shared" ref="X53:AM53" si="120">IF(X28&lt;&gt;"",$A28,0)+IF(X29&lt;&gt;"",$A29,0)+IF(X30&lt;&gt;"",$A30,0)+IF(X31&lt;&gt;"",$A31,0)+IF(Y28&lt;&gt;"",$A28/2,0)+IF(Y29&lt;&gt;"",$A29/2,0)+IF(Y30&lt;&gt;"",$A30/2,0)+IF(Y31&lt;&gt;"",$A31/2, 0)</f>
        <v>0</v>
      </c>
      <c r="Y53" s="13" t="str">
        <f t="shared" ref="Y53:AM53" si="121">IF(X53&gt;=$C$59,$B$59,IF(X53&gt;=$C$60,$B$60,IF(X53&gt;=$C$61,$B$61,$B$62)))</f>
        <v>Dårlig</v>
      </c>
      <c r="Z53" s="8">
        <f t="shared" ref="Z53:AM53" si="122">IF(Z28&lt;&gt;"",$A28,0)+IF(Z29&lt;&gt;"",$A29,0)+IF(Z30&lt;&gt;"",$A30,0)+IF(Z31&lt;&gt;"",$A31,0)+IF(AA28&lt;&gt;"",$A28/2,0)+IF(AA29&lt;&gt;"",$A29/2,0)+IF(AA30&lt;&gt;"",$A30/2,0)+IF(AA31&lt;&gt;"",$A31/2, 0)</f>
        <v>1</v>
      </c>
      <c r="AA53" s="13" t="str">
        <f t="shared" ref="AA53:AM53" si="123">IF(Z53&gt;=$C$59,$B$59,IF(Z53&gt;=$C$60,$B$60,IF(Z53&gt;=$C$61,$B$61,$B$62)))</f>
        <v>Dårlig</v>
      </c>
      <c r="AB53" s="8">
        <f t="shared" ref="AB53:AM53" si="124">IF(AB28&lt;&gt;"",$A28,0)+IF(AB29&lt;&gt;"",$A29,0)+IF(AB30&lt;&gt;"",$A30,0)+IF(AB31&lt;&gt;"",$A31,0)+IF(AC28&lt;&gt;"",$A28/2,0)+IF(AC29&lt;&gt;"",$A29/2,0)+IF(AC30&lt;&gt;"",$A30/2,0)+IF(AC31&lt;&gt;"",$A31/2, 0)</f>
        <v>1</v>
      </c>
      <c r="AC53" s="13" t="str">
        <f t="shared" ref="AC53:AM53" si="125">IF(AB53&gt;=$C$59,$B$59,IF(AB53&gt;=$C$60,$B$60,IF(AB53&gt;=$C$61,$B$61,$B$62)))</f>
        <v>Dårlig</v>
      </c>
      <c r="AD53" s="8">
        <f t="shared" ref="AD53:AM53" si="126">IF(AD28&lt;&gt;"",$A28,0)+IF(AD29&lt;&gt;"",$A29,0)+IF(AD30&lt;&gt;"",$A30,0)+IF(AD31&lt;&gt;"",$A31,0)+IF(AE28&lt;&gt;"",$A28/2,0)+IF(AE29&lt;&gt;"",$A29/2,0)+IF(AE30&lt;&gt;"",$A30/2,0)+IF(AE31&lt;&gt;"",$A31/2, 0)</f>
        <v>1</v>
      </c>
      <c r="AE53" s="13" t="str">
        <f t="shared" ref="AE53:AM53" si="127">IF(AD53&gt;=$C$59,$B$59,IF(AD53&gt;=$C$60,$B$60,IF(AD53&gt;=$C$61,$B$61,$B$62)))</f>
        <v>Dårlig</v>
      </c>
      <c r="AF53" s="8">
        <f t="shared" ref="AF53:AM53" si="128">IF(AF28&lt;&gt;"",$A28,0)+IF(AF29&lt;&gt;"",$A29,0)+IF(AF30&lt;&gt;"",$A30,0)+IF(AF31&lt;&gt;"",$A31,0)+IF(AG28&lt;&gt;"",$A28/2,0)+IF(AG29&lt;&gt;"",$A29/2,0)+IF(AG30&lt;&gt;"",$A30/2,0)+IF(AG31&lt;&gt;"",$A31/2, 0)</f>
        <v>1.5</v>
      </c>
      <c r="AG53" s="13" t="str">
        <f t="shared" ref="AG53:AM53" si="129">IF(AF53&gt;=$C$59,$B$59,IF(AF53&gt;=$C$60,$B$60,IF(AF53&gt;=$C$61,$B$61,$B$62)))</f>
        <v>Dårlig</v>
      </c>
      <c r="AH53" s="8">
        <f t="shared" ref="AH53:AM53" si="130">IF(AH28&lt;&gt;"",$A28,0)+IF(AH29&lt;&gt;"",$A29,0)+IF(AH30&lt;&gt;"",$A30,0)+IF(AH31&lt;&gt;"",$A31,0)+IF(AI28&lt;&gt;"",$A28/2,0)+IF(AI29&lt;&gt;"",$A29/2,0)+IF(AI30&lt;&gt;"",$A30/2,0)+IF(AI31&lt;&gt;"",$A31/2, 0)</f>
        <v>1.5</v>
      </c>
      <c r="AI53" s="13" t="str">
        <f t="shared" ref="AI53:AM53" si="131">IF(AH53&gt;=$C$59,$B$59,IF(AH53&gt;=$C$60,$B$60,IF(AH53&gt;=$C$61,$B$61,$B$62)))</f>
        <v>Dårlig</v>
      </c>
      <c r="AJ53" s="8">
        <f t="shared" ref="AJ53:AM53" si="132">IF(AJ28&lt;&gt;"",$A28,0)+IF(AJ29&lt;&gt;"",$A29,0)+IF(AJ30&lt;&gt;"",$A30,0)+IF(AJ31&lt;&gt;"",$A31,0)+IF(AK28&lt;&gt;"",$A28/2,0)+IF(AK29&lt;&gt;"",$A29/2,0)+IF(AK30&lt;&gt;"",$A30/2,0)+IF(AK31&lt;&gt;"",$A31/2, 0)</f>
        <v>1</v>
      </c>
      <c r="AK53" s="13" t="str">
        <f t="shared" ref="AK53:AM53" si="133">IF(AJ53&gt;=$C$59,$B$59,IF(AJ53&gt;=$C$60,$B$60,IF(AJ53&gt;=$C$61,$B$61,$B$62)))</f>
        <v>Dårlig</v>
      </c>
      <c r="AL53" s="8">
        <f t="shared" ref="AL53:AM53" si="134">IF(AL28&lt;&gt;"",$A28,0)+IF(AL29&lt;&gt;"",$A29,0)+IF(AL30&lt;&gt;"",$A30,0)+IF(AL31&lt;&gt;"",$A31,0)+IF(AM28&lt;&gt;"",$A28/2,0)+IF(AM29&lt;&gt;"",$A29/2,0)+IF(AM30&lt;&gt;"",$A30/2,0)+IF(AM31&lt;&gt;"",$A31/2, 0)</f>
        <v>1</v>
      </c>
      <c r="AM53" s="13" t="str">
        <f t="shared" ref="AM53" si="135">IF(AL53&gt;=$C$59,$B$59,IF(AL53&gt;=$C$60,$B$60,IF(AL53&gt;=$C$61,$B$61,$B$62)))</f>
        <v>Dårlig</v>
      </c>
    </row>
    <row r="54" spans="2:39" ht="18" customHeight="1" x14ac:dyDescent="0.25">
      <c r="C54" s="2" t="s">
        <v>51</v>
      </c>
      <c r="D54" s="8">
        <f>IF(D33&lt;&gt;"",$A33,0)+IF(D34&lt;&gt;"",$A34,0)+IF(D35&lt;&gt;"",$A35,0)+IF(D36&lt;&gt;"",$A36,0)+IF(E33&lt;&gt;"",$A33/2,0)+IF(E34&lt;&gt;"",$A34/2,0)+IF(E35&lt;&gt;"",$A35/2,0)+IF(E36&lt;&gt;"",$A36/2,0)</f>
        <v>10.5</v>
      </c>
      <c r="E54" s="13" t="str">
        <f>IF(D54&gt;=$C$59,$B$59,IF(D54&gt;=$C$60,$B$60,IF(D54&gt;=$C$61,$B$61,$B$62)))</f>
        <v>Grei</v>
      </c>
      <c r="F54" s="8">
        <f t="shared" ref="F54:AM54" si="136">IF(F33&lt;&gt;"",$A33,0)+IF(F34&lt;&gt;"",$A34,0)+IF(F35&lt;&gt;"",$A35,0)+IF(F36&lt;&gt;"",$A36,0)+IF(G33&lt;&gt;"",$A33/2,0)+IF(G34&lt;&gt;"",$A34/2,0)+IF(G35&lt;&gt;"",$A35/2,0)+IF(G36&lt;&gt;"",$A36/2,0)</f>
        <v>10.5</v>
      </c>
      <c r="G54" s="13" t="str">
        <f t="shared" ref="G54:AM54" si="137">IF(F54&gt;=$C$59,$B$59,IF(F54&gt;=$C$60,$B$60,IF(F54&gt;=$C$61,$B$61,$B$62)))</f>
        <v>Grei</v>
      </c>
      <c r="H54" s="8">
        <f t="shared" ref="H54:AM54" si="138">IF(H33&lt;&gt;"",$A33,0)+IF(H34&lt;&gt;"",$A34,0)+IF(H35&lt;&gt;"",$A35,0)+IF(H36&lt;&gt;"",$A36,0)+IF(I33&lt;&gt;"",$A33/2,0)+IF(I34&lt;&gt;"",$A34/2,0)+IF(I35&lt;&gt;"",$A35/2,0)+IF(I36&lt;&gt;"",$A36/2,0)</f>
        <v>10</v>
      </c>
      <c r="I54" s="13" t="str">
        <f t="shared" ref="I54:AM54" si="139">IF(H54&gt;=$C$59,$B$59,IF(H54&gt;=$C$60,$B$60,IF(H54&gt;=$C$61,$B$61,$B$62)))</f>
        <v>Grei</v>
      </c>
      <c r="J54" s="8">
        <f t="shared" ref="J54:AM54" si="140">IF(J33&lt;&gt;"",$A33,0)+IF(J34&lt;&gt;"",$A34,0)+IF(J35&lt;&gt;"",$A35,0)+IF(J36&lt;&gt;"",$A36,0)+IF(K33&lt;&gt;"",$A33/2,0)+IF(K34&lt;&gt;"",$A34/2,0)+IF(K35&lt;&gt;"",$A35/2,0)+IF(K36&lt;&gt;"",$A36/2,0)</f>
        <v>15</v>
      </c>
      <c r="K54" s="13" t="str">
        <f t="shared" ref="K54:AM54" si="141">IF(J54&gt;=$C$59,$B$59,IF(J54&gt;=$C$60,$B$60,IF(J54&gt;=$C$61,$B$61,$B$62)))</f>
        <v>God</v>
      </c>
      <c r="L54" s="8">
        <f t="shared" ref="L54:AM54" si="142">IF(L33&lt;&gt;"",$A33,0)+IF(L34&lt;&gt;"",$A34,0)+IF(L35&lt;&gt;"",$A35,0)+IF(L36&lt;&gt;"",$A36,0)+IF(M33&lt;&gt;"",$A33/2,0)+IF(M34&lt;&gt;"",$A34/2,0)+IF(M35&lt;&gt;"",$A35/2,0)+IF(M36&lt;&gt;"",$A36/2,0)</f>
        <v>14</v>
      </c>
      <c r="M54" s="13" t="str">
        <f t="shared" ref="M54:AM54" si="143">IF(L54&gt;=$C$59,$B$59,IF(L54&gt;=$C$60,$B$60,IF(L54&gt;=$C$61,$B$61,$B$62)))</f>
        <v>God</v>
      </c>
      <c r="N54" s="8">
        <f t="shared" ref="N54:AM54" si="144">IF(N33&lt;&gt;"",$A33,0)+IF(N34&lt;&gt;"",$A34,0)+IF(N35&lt;&gt;"",$A35,0)+IF(N36&lt;&gt;"",$A36,0)+IF(O33&lt;&gt;"",$A33/2,0)+IF(O34&lt;&gt;"",$A34/2,0)+IF(O35&lt;&gt;"",$A35/2,0)+IF(O36&lt;&gt;"",$A36/2,0)</f>
        <v>15</v>
      </c>
      <c r="O54" s="13" t="str">
        <f t="shared" ref="O54:AM54" si="145">IF(N54&gt;=$C$59,$B$59,IF(N54&gt;=$C$60,$B$60,IF(N54&gt;=$C$61,$B$61,$B$62)))</f>
        <v>God</v>
      </c>
      <c r="P54" s="8">
        <f t="shared" ref="P54:AM54" si="146">IF(P33&lt;&gt;"",$A33,0)+IF(P34&lt;&gt;"",$A34,0)+IF(P35&lt;&gt;"",$A35,0)+IF(P36&lt;&gt;"",$A36,0)+IF(Q33&lt;&gt;"",$A33/2,0)+IF(Q34&lt;&gt;"",$A34/2,0)+IF(Q35&lt;&gt;"",$A35/2,0)+IF(Q36&lt;&gt;"",$A36/2,0)</f>
        <v>15</v>
      </c>
      <c r="Q54" s="13" t="str">
        <f t="shared" ref="Q54:AM54" si="147">IF(P54&gt;=$C$59,$B$59,IF(P54&gt;=$C$60,$B$60,IF(P54&gt;=$C$61,$B$61,$B$62)))</f>
        <v>God</v>
      </c>
      <c r="R54" s="8">
        <f t="shared" ref="R54:AM54" si="148">IF(R33&lt;&gt;"",$A33,0)+IF(R34&lt;&gt;"",$A34,0)+IF(R35&lt;&gt;"",$A35,0)+IF(R36&lt;&gt;"",$A36,0)+IF(S33&lt;&gt;"",$A33/2,0)+IF(S34&lt;&gt;"",$A34/2,0)+IF(S35&lt;&gt;"",$A35/2,0)+IF(S36&lt;&gt;"",$A36/2,0)</f>
        <v>15</v>
      </c>
      <c r="S54" s="13" t="str">
        <f t="shared" ref="S54:AM54" si="149">IF(R54&gt;=$C$59,$B$59,IF(R54&gt;=$C$60,$B$60,IF(R54&gt;=$C$61,$B$61,$B$62)))</f>
        <v>God</v>
      </c>
      <c r="T54" s="8">
        <f t="shared" ref="T54:AM54" si="150">IF(T33&lt;&gt;"",$A33,0)+IF(T34&lt;&gt;"",$A34,0)+IF(T35&lt;&gt;"",$A35,0)+IF(T36&lt;&gt;"",$A36,0)+IF(U33&lt;&gt;"",$A33/2,0)+IF(U34&lt;&gt;"",$A34/2,0)+IF(U35&lt;&gt;"",$A35/2,0)+IF(U36&lt;&gt;"",$A36/2,0)</f>
        <v>7</v>
      </c>
      <c r="U54" s="13" t="str">
        <f t="shared" ref="U54:AM54" si="151">IF(T54&gt;=$C$59,$B$59,IF(T54&gt;=$C$60,$B$60,IF(T54&gt;=$C$61,$B$61,$B$62)))</f>
        <v>Svak</v>
      </c>
      <c r="V54" s="8">
        <f t="shared" ref="V54:AM54" si="152">IF(V33&lt;&gt;"",$A33,0)+IF(V34&lt;&gt;"",$A34,0)+IF(V35&lt;&gt;"",$A35,0)+IF(V36&lt;&gt;"",$A36,0)+IF(W33&lt;&gt;"",$A33/2,0)+IF(W34&lt;&gt;"",$A34/2,0)+IF(W35&lt;&gt;"",$A35/2,0)+IF(W36&lt;&gt;"",$A36/2,0)</f>
        <v>12.5</v>
      </c>
      <c r="W54" s="13" t="str">
        <f t="shared" ref="W54:AM54" si="153">IF(V54&gt;=$C$59,$B$59,IF(V54&gt;=$C$60,$B$60,IF(V54&gt;=$C$61,$B$61,$B$62)))</f>
        <v>God</v>
      </c>
      <c r="X54" s="8">
        <f t="shared" ref="X54:AM54" si="154">IF(X33&lt;&gt;"",$A33,0)+IF(X34&lt;&gt;"",$A34,0)+IF(X35&lt;&gt;"",$A35,0)+IF(X36&lt;&gt;"",$A36,0)+IF(Y33&lt;&gt;"",$A33/2,0)+IF(Y34&lt;&gt;"",$A34/2,0)+IF(Y35&lt;&gt;"",$A35/2,0)+IF(Y36&lt;&gt;"",$A36/2,0)</f>
        <v>10.5</v>
      </c>
      <c r="Y54" s="13" t="str">
        <f t="shared" ref="Y54:AM54" si="155">IF(X54&gt;=$C$59,$B$59,IF(X54&gt;=$C$60,$B$60,IF(X54&gt;=$C$61,$B$61,$B$62)))</f>
        <v>Grei</v>
      </c>
      <c r="Z54" s="8">
        <f t="shared" ref="Z54:AM54" si="156">IF(Z33&lt;&gt;"",$A33,0)+IF(Z34&lt;&gt;"",$A34,0)+IF(Z35&lt;&gt;"",$A35,0)+IF(Z36&lt;&gt;"",$A36,0)+IF(AA33&lt;&gt;"",$A33/2,0)+IF(AA34&lt;&gt;"",$A34/2,0)+IF(AA35&lt;&gt;"",$A35/2,0)+IF(AA36&lt;&gt;"",$A36/2,0)</f>
        <v>5</v>
      </c>
      <c r="AA54" s="13" t="str">
        <f t="shared" ref="AA54:AM54" si="157">IF(Z54&gt;=$C$59,$B$59,IF(Z54&gt;=$C$60,$B$60,IF(Z54&gt;=$C$61,$B$61,$B$62)))</f>
        <v>Dårlig</v>
      </c>
      <c r="AB54" s="8">
        <f t="shared" ref="AB54:AM54" si="158">IF(AB33&lt;&gt;"",$A33,0)+IF(AB34&lt;&gt;"",$A34,0)+IF(AB35&lt;&gt;"",$A35,0)+IF(AB36&lt;&gt;"",$A36,0)+IF(AC33&lt;&gt;"",$A33/2,0)+IF(AC34&lt;&gt;"",$A34/2,0)+IF(AC35&lt;&gt;"",$A35/2,0)+IF(AC36&lt;&gt;"",$A36/2,0)</f>
        <v>10.5</v>
      </c>
      <c r="AC54" s="13" t="str">
        <f t="shared" ref="AC54:AM54" si="159">IF(AB54&gt;=$C$59,$B$59,IF(AB54&gt;=$C$60,$B$60,IF(AB54&gt;=$C$61,$B$61,$B$62)))</f>
        <v>Grei</v>
      </c>
      <c r="AD54" s="8">
        <f t="shared" ref="AD54:AM54" si="160">IF(AD33&lt;&gt;"",$A33,0)+IF(AD34&lt;&gt;"",$A34,0)+IF(AD35&lt;&gt;"",$A35,0)+IF(AD36&lt;&gt;"",$A36,0)+IF(AE33&lt;&gt;"",$A33/2,0)+IF(AE34&lt;&gt;"",$A34/2,0)+IF(AE35&lt;&gt;"",$A35/2,0)+IF(AE36&lt;&gt;"",$A36/2,0)</f>
        <v>10.5</v>
      </c>
      <c r="AE54" s="13" t="str">
        <f t="shared" ref="AE54:AM54" si="161">IF(AD54&gt;=$C$59,$B$59,IF(AD54&gt;=$C$60,$B$60,IF(AD54&gt;=$C$61,$B$61,$B$62)))</f>
        <v>Grei</v>
      </c>
      <c r="AF54" s="8">
        <f t="shared" ref="AF54:AM54" si="162">IF(AF33&lt;&gt;"",$A33,0)+IF(AF34&lt;&gt;"",$A34,0)+IF(AF35&lt;&gt;"",$A35,0)+IF(AF36&lt;&gt;"",$A36,0)+IF(AG33&lt;&gt;"",$A33/2,0)+IF(AG34&lt;&gt;"",$A34/2,0)+IF(AG35&lt;&gt;"",$A35/2,0)+IF(AG36&lt;&gt;"",$A36/2,0)</f>
        <v>10.5</v>
      </c>
      <c r="AG54" s="13" t="str">
        <f t="shared" ref="AG54:AM54" si="163">IF(AF54&gt;=$C$59,$B$59,IF(AF54&gt;=$C$60,$B$60,IF(AF54&gt;=$C$61,$B$61,$B$62)))</f>
        <v>Grei</v>
      </c>
      <c r="AH54" s="8">
        <f t="shared" ref="AH54:AM54" si="164">IF(AH33&lt;&gt;"",$A33,0)+IF(AH34&lt;&gt;"",$A34,0)+IF(AH35&lt;&gt;"",$A35,0)+IF(AH36&lt;&gt;"",$A36,0)+IF(AI33&lt;&gt;"",$A33/2,0)+IF(AI34&lt;&gt;"",$A34/2,0)+IF(AI35&lt;&gt;"",$A35/2,0)+IF(AI36&lt;&gt;"",$A36/2,0)</f>
        <v>9.5</v>
      </c>
      <c r="AI54" s="13" t="str">
        <f t="shared" ref="AI54:AM54" si="165">IF(AH54&gt;=$C$59,$B$59,IF(AH54&gt;=$C$60,$B$60,IF(AH54&gt;=$C$61,$B$61,$B$62)))</f>
        <v>Grei</v>
      </c>
      <c r="AJ54" s="8">
        <f t="shared" ref="AJ54:AM54" si="166">IF(AJ33&lt;&gt;"",$A33,0)+IF(AJ34&lt;&gt;"",$A34,0)+IF(AJ35&lt;&gt;"",$A35,0)+IF(AJ36&lt;&gt;"",$A36,0)+IF(AK33&lt;&gt;"",$A33/2,0)+IF(AK34&lt;&gt;"",$A34/2,0)+IF(AK35&lt;&gt;"",$A35/2,0)+IF(AK36&lt;&gt;"",$A36/2,0)</f>
        <v>9.5</v>
      </c>
      <c r="AK54" s="13" t="str">
        <f t="shared" ref="AK54:AM54" si="167">IF(AJ54&gt;=$C$59,$B$59,IF(AJ54&gt;=$C$60,$B$60,IF(AJ54&gt;=$C$61,$B$61,$B$62)))</f>
        <v>Grei</v>
      </c>
      <c r="AL54" s="8">
        <f t="shared" ref="AL54:AM54" si="168">IF(AL33&lt;&gt;"",$A33,0)+IF(AL34&lt;&gt;"",$A34,0)+IF(AL35&lt;&gt;"",$A35,0)+IF(AL36&lt;&gt;"",$A36,0)+IF(AM33&lt;&gt;"",$A33/2,0)+IF(AM34&lt;&gt;"",$A34/2,0)+IF(AM35&lt;&gt;"",$A35/2,0)+IF(AM36&lt;&gt;"",$A36/2,0)</f>
        <v>0</v>
      </c>
      <c r="AM54" s="13" t="str">
        <f t="shared" ref="AM54" si="169">IF(AL54&gt;=$C$59,$B$59,IF(AL54&gt;=$C$60,$B$60,IF(AL54&gt;=$C$61,$B$61,$B$62)))</f>
        <v>Dårlig</v>
      </c>
    </row>
    <row r="55" spans="2:39" ht="18" customHeight="1" x14ac:dyDescent="0.25">
      <c r="C55" s="2" t="s">
        <v>59</v>
      </c>
      <c r="D55" s="8">
        <f>IF(D38&lt;&gt;"",$A38,0)+IF(D39&lt;&gt;"",$A39,0)+IF(D40&lt;&gt;"",$A40,0)+IF(D41&lt;&gt;"",$A41,0)+IF(D42&lt;&gt;"",$A42,0)+IF(E38&lt;&gt;"",$A38/2,0)+IF(E39&lt;&gt;"",$A39/2,0)+IF(E40&lt;&gt;"",$A40/2,0)+IF(E41&lt;&gt;"",$A41/2,0)+IF(E42&lt;&gt;"",$A42/2,0)</f>
        <v>4</v>
      </c>
      <c r="E55" s="13" t="str">
        <f>IF(D55&gt;=$C$59,$B$59,IF(D55&gt;=$C$60,$B$60,IF(D55&gt;=$C$61,$B$61,$B$62)))</f>
        <v>Dårlig</v>
      </c>
      <c r="F55" s="8">
        <f t="shared" ref="F55:AM55" si="170">IF(F38&lt;&gt;"",$A38,0)+IF(F39&lt;&gt;"",$A39,0)+IF(F40&lt;&gt;"",$A40,0)+IF(F41&lt;&gt;"",$A41,0)+IF(F42&lt;&gt;"",$A42,0)+IF(G38&lt;&gt;"",$A38/2,0)+IF(G39&lt;&gt;"",$A39/2,0)+IF(G40&lt;&gt;"",$A40/2,0)+IF(G41&lt;&gt;"",$A41/2,0)+IF(G42&lt;&gt;"",$A42/2,0)</f>
        <v>0</v>
      </c>
      <c r="G55" s="13" t="str">
        <f t="shared" ref="G55:AM55" si="171">IF(F55&gt;=$C$59,$B$59,IF(F55&gt;=$C$60,$B$60,IF(F55&gt;=$C$61,$B$61,$B$62)))</f>
        <v>Dårlig</v>
      </c>
      <c r="H55" s="8">
        <f t="shared" ref="H55:AM55" si="172">IF(H38&lt;&gt;"",$A38,0)+IF(H39&lt;&gt;"",$A39,0)+IF(H40&lt;&gt;"",$A40,0)+IF(H41&lt;&gt;"",$A41,0)+IF(H42&lt;&gt;"",$A42,0)+IF(I38&lt;&gt;"",$A38/2,0)+IF(I39&lt;&gt;"",$A39/2,0)+IF(I40&lt;&gt;"",$A40/2,0)+IF(I41&lt;&gt;"",$A41/2,0)+IF(I42&lt;&gt;"",$A42/2,0)</f>
        <v>12</v>
      </c>
      <c r="I55" s="13" t="str">
        <f t="shared" ref="I55:AM55" si="173">IF(H55&gt;=$C$59,$B$59,IF(H55&gt;=$C$60,$B$60,IF(H55&gt;=$C$61,$B$61,$B$62)))</f>
        <v>God</v>
      </c>
      <c r="J55" s="8">
        <f t="shared" ref="J55:AM55" si="174">IF(J38&lt;&gt;"",$A38,0)+IF(J39&lt;&gt;"",$A39,0)+IF(J40&lt;&gt;"",$A40,0)+IF(J41&lt;&gt;"",$A41,0)+IF(J42&lt;&gt;"",$A42,0)+IF(K38&lt;&gt;"",$A38/2,0)+IF(K39&lt;&gt;"",$A39/2,0)+IF(K40&lt;&gt;"",$A40/2,0)+IF(K41&lt;&gt;"",$A41/2,0)+IF(K42&lt;&gt;"",$A42/2,0)</f>
        <v>4</v>
      </c>
      <c r="K55" s="13" t="str">
        <f t="shared" ref="K55:AM55" si="175">IF(J55&gt;=$C$59,$B$59,IF(J55&gt;=$C$60,$B$60,IF(J55&gt;=$C$61,$B$61,$B$62)))</f>
        <v>Dårlig</v>
      </c>
      <c r="L55" s="8">
        <f t="shared" ref="L55:AM55" si="176">IF(L38&lt;&gt;"",$A38,0)+IF(L39&lt;&gt;"",$A39,0)+IF(L40&lt;&gt;"",$A40,0)+IF(L41&lt;&gt;"",$A41,0)+IF(L42&lt;&gt;"",$A42,0)+IF(M38&lt;&gt;"",$A38/2,0)+IF(M39&lt;&gt;"",$A39/2,0)+IF(M40&lt;&gt;"",$A40/2,0)+IF(M41&lt;&gt;"",$A41/2,0)+IF(M42&lt;&gt;"",$A42/2,0)</f>
        <v>13.5</v>
      </c>
      <c r="M55" s="13" t="str">
        <f t="shared" ref="M55:AM55" si="177">IF(L55&gt;=$C$59,$B$59,IF(L55&gt;=$C$60,$B$60,IF(L55&gt;=$C$61,$B$61,$B$62)))</f>
        <v>God</v>
      </c>
      <c r="N55" s="8">
        <f t="shared" ref="N55:AM55" si="178">IF(N38&lt;&gt;"",$A38,0)+IF(N39&lt;&gt;"",$A39,0)+IF(N40&lt;&gt;"",$A40,0)+IF(N41&lt;&gt;"",$A41,0)+IF(N42&lt;&gt;"",$A42,0)+IF(O38&lt;&gt;"",$A38/2,0)+IF(O39&lt;&gt;"",$A39/2,0)+IF(O40&lt;&gt;"",$A40/2,0)+IF(O41&lt;&gt;"",$A41/2,0)+IF(O42&lt;&gt;"",$A42/2,0)</f>
        <v>2</v>
      </c>
      <c r="O55" s="13" t="str">
        <f t="shared" ref="O55:AM55" si="179">IF(N55&gt;=$C$59,$B$59,IF(N55&gt;=$C$60,$B$60,IF(N55&gt;=$C$61,$B$61,$B$62)))</f>
        <v>Dårlig</v>
      </c>
      <c r="P55" s="8">
        <f t="shared" ref="P55:AM55" si="180">IF(P38&lt;&gt;"",$A38,0)+IF(P39&lt;&gt;"",$A39,0)+IF(P40&lt;&gt;"",$A40,0)+IF(P41&lt;&gt;"",$A41,0)+IF(P42&lt;&gt;"",$A42,0)+IF(Q38&lt;&gt;"",$A38/2,0)+IF(Q39&lt;&gt;"",$A39/2,0)+IF(Q40&lt;&gt;"",$A40/2,0)+IF(Q41&lt;&gt;"",$A41/2,0)+IF(Q42&lt;&gt;"",$A42/2,0)</f>
        <v>13.5</v>
      </c>
      <c r="Q55" s="13" t="str">
        <f t="shared" ref="Q55:AM55" si="181">IF(P55&gt;=$C$59,$B$59,IF(P55&gt;=$C$60,$B$60,IF(P55&gt;=$C$61,$B$61,$B$62)))</f>
        <v>God</v>
      </c>
      <c r="R55" s="8">
        <f t="shared" ref="R55:AM55" si="182">IF(R38&lt;&gt;"",$A38,0)+IF(R39&lt;&gt;"",$A39,0)+IF(R40&lt;&gt;"",$A40,0)+IF(R41&lt;&gt;"",$A41,0)+IF(R42&lt;&gt;"",$A42,0)+IF(S38&lt;&gt;"",$A38/2,0)+IF(S39&lt;&gt;"",$A39/2,0)+IF(S40&lt;&gt;"",$A40/2,0)+IF(S41&lt;&gt;"",$A41/2,0)+IF(S42&lt;&gt;"",$A42/2,0)</f>
        <v>5</v>
      </c>
      <c r="S55" s="13" t="str">
        <f t="shared" ref="S55:AM55" si="183">IF(R55&gt;=$C$59,$B$59,IF(R55&gt;=$C$60,$B$60,IF(R55&gt;=$C$61,$B$61,$B$62)))</f>
        <v>Dårlig</v>
      </c>
      <c r="T55" s="8">
        <f t="shared" ref="T55:AM55" si="184">IF(T38&lt;&gt;"",$A38,0)+IF(T39&lt;&gt;"",$A39,0)+IF(T40&lt;&gt;"",$A40,0)+IF(T41&lt;&gt;"",$A41,0)+IF(T42&lt;&gt;"",$A42,0)+IF(U38&lt;&gt;"",$A38/2,0)+IF(U39&lt;&gt;"",$A39/2,0)+IF(U40&lt;&gt;"",$A40/2,0)+IF(U41&lt;&gt;"",$A41/2,0)+IF(U42&lt;&gt;"",$A42/2,0)</f>
        <v>8.5</v>
      </c>
      <c r="U55" s="13" t="str">
        <f t="shared" ref="U55:AM55" si="185">IF(T55&gt;=$C$59,$B$59,IF(T55&gt;=$C$60,$B$60,IF(T55&gt;=$C$61,$B$61,$B$62)))</f>
        <v>Svak</v>
      </c>
      <c r="V55" s="8">
        <f t="shared" ref="V55:AM55" si="186">IF(V38&lt;&gt;"",$A38,0)+IF(V39&lt;&gt;"",$A39,0)+IF(V40&lt;&gt;"",$A40,0)+IF(V41&lt;&gt;"",$A41,0)+IF(V42&lt;&gt;"",$A42,0)+IF(W38&lt;&gt;"",$A38/2,0)+IF(W39&lt;&gt;"",$A39/2,0)+IF(W40&lt;&gt;"",$A40/2,0)+IF(W41&lt;&gt;"",$A41/2,0)+IF(W42&lt;&gt;"",$A42/2,0)</f>
        <v>3.5</v>
      </c>
      <c r="W55" s="13" t="str">
        <f t="shared" ref="W55:AM55" si="187">IF(V55&gt;=$C$59,$B$59,IF(V55&gt;=$C$60,$B$60,IF(V55&gt;=$C$61,$B$61,$B$62)))</f>
        <v>Dårlig</v>
      </c>
      <c r="X55" s="8">
        <f t="shared" ref="X55:AM55" si="188">IF(X38&lt;&gt;"",$A38,0)+IF(X39&lt;&gt;"",$A39,0)+IF(X40&lt;&gt;"",$A40,0)+IF(X41&lt;&gt;"",$A41,0)+IF(X42&lt;&gt;"",$A42,0)+IF(Y38&lt;&gt;"",$A38/2,0)+IF(Y39&lt;&gt;"",$A39/2,0)+IF(Y40&lt;&gt;"",$A40/2,0)+IF(Y41&lt;&gt;"",$A41/2,0)+IF(Y42&lt;&gt;"",$A42/2,0)</f>
        <v>2</v>
      </c>
      <c r="Y55" s="13" t="str">
        <f t="shared" ref="Y55:AM55" si="189">IF(X55&gt;=$C$59,$B$59,IF(X55&gt;=$C$60,$B$60,IF(X55&gt;=$C$61,$B$61,$B$62)))</f>
        <v>Dårlig</v>
      </c>
      <c r="Z55" s="8">
        <f t="shared" ref="Z55:AM55" si="190">IF(Z38&lt;&gt;"",$A38,0)+IF(Z39&lt;&gt;"",$A39,0)+IF(Z40&lt;&gt;"",$A40,0)+IF(Z41&lt;&gt;"",$A41,0)+IF(Z42&lt;&gt;"",$A42,0)+IF(AA38&lt;&gt;"",$A38/2,0)+IF(AA39&lt;&gt;"",$A39/2,0)+IF(AA40&lt;&gt;"",$A40/2,0)+IF(AA41&lt;&gt;"",$A41/2,0)+IF(AA42&lt;&gt;"",$A42/2,0)</f>
        <v>5</v>
      </c>
      <c r="AA55" s="13" t="str">
        <f t="shared" ref="AA55:AM55" si="191">IF(Z55&gt;=$C$59,$B$59,IF(Z55&gt;=$C$60,$B$60,IF(Z55&gt;=$C$61,$B$61,$B$62)))</f>
        <v>Dårlig</v>
      </c>
      <c r="AB55" s="8">
        <f t="shared" ref="AB55:AM55" si="192">IF(AB38&lt;&gt;"",$A38,0)+IF(AB39&lt;&gt;"",$A39,0)+IF(AB40&lt;&gt;"",$A40,0)+IF(AB41&lt;&gt;"",$A41,0)+IF(AB42&lt;&gt;"",$A42,0)+IF(AC38&lt;&gt;"",$A38/2,0)+IF(AC39&lt;&gt;"",$A39/2,0)+IF(AC40&lt;&gt;"",$A40/2,0)+IF(AC41&lt;&gt;"",$A41/2,0)+IF(AC42&lt;&gt;"",$A42/2,0)</f>
        <v>5.5</v>
      </c>
      <c r="AC55" s="13" t="str">
        <f t="shared" ref="AC55:AM55" si="193">IF(AB55&gt;=$C$59,$B$59,IF(AB55&gt;=$C$60,$B$60,IF(AB55&gt;=$C$61,$B$61,$B$62)))</f>
        <v>Dårlig</v>
      </c>
      <c r="AD55" s="8">
        <f t="shared" ref="AD55:AM55" si="194">IF(AD38&lt;&gt;"",$A38,0)+IF(AD39&lt;&gt;"",$A39,0)+IF(AD40&lt;&gt;"",$A40,0)+IF(AD41&lt;&gt;"",$A41,0)+IF(AD42&lt;&gt;"",$A42,0)+IF(AE38&lt;&gt;"",$A38/2,0)+IF(AE39&lt;&gt;"",$A39/2,0)+IF(AE40&lt;&gt;"",$A40/2,0)+IF(AE41&lt;&gt;"",$A41/2,0)+IF(AE42&lt;&gt;"",$A42/2,0)</f>
        <v>8.5</v>
      </c>
      <c r="AE55" s="13" t="str">
        <f t="shared" ref="AE55:AM55" si="195">IF(AD55&gt;=$C$59,$B$59,IF(AD55&gt;=$C$60,$B$60,IF(AD55&gt;=$C$61,$B$61,$B$62)))</f>
        <v>Svak</v>
      </c>
      <c r="AF55" s="8">
        <f t="shared" ref="AF55:AM55" si="196">IF(AF38&lt;&gt;"",$A38,0)+IF(AF39&lt;&gt;"",$A39,0)+IF(AF40&lt;&gt;"",$A40,0)+IF(AF41&lt;&gt;"",$A41,0)+IF(AF42&lt;&gt;"",$A42,0)+IF(AG38&lt;&gt;"",$A38/2,0)+IF(AG39&lt;&gt;"",$A39/2,0)+IF(AG40&lt;&gt;"",$A40/2,0)+IF(AG41&lt;&gt;"",$A41/2,0)+IF(AG42&lt;&gt;"",$A42/2,0)</f>
        <v>4</v>
      </c>
      <c r="AG55" s="13" t="str">
        <f t="shared" ref="AG55:AM55" si="197">IF(AF55&gt;=$C$59,$B$59,IF(AF55&gt;=$C$60,$B$60,IF(AF55&gt;=$C$61,$B$61,$B$62)))</f>
        <v>Dårlig</v>
      </c>
      <c r="AH55" s="8">
        <f t="shared" ref="AH55:AM55" si="198">IF(AH38&lt;&gt;"",$A38,0)+IF(AH39&lt;&gt;"",$A39,0)+IF(AH40&lt;&gt;"",$A40,0)+IF(AH41&lt;&gt;"",$A41,0)+IF(AH42&lt;&gt;"",$A42,0)+IF(AI38&lt;&gt;"",$A38/2,0)+IF(AI39&lt;&gt;"",$A39/2,0)+IF(AI40&lt;&gt;"",$A40/2,0)+IF(AI41&lt;&gt;"",$A41/2,0)+IF(AI42&lt;&gt;"",$A42/2,0)</f>
        <v>7</v>
      </c>
      <c r="AI55" s="13" t="str">
        <f t="shared" ref="AI55:AM55" si="199">IF(AH55&gt;=$C$59,$B$59,IF(AH55&gt;=$C$60,$B$60,IF(AH55&gt;=$C$61,$B$61,$B$62)))</f>
        <v>Svak</v>
      </c>
      <c r="AJ55" s="8">
        <f t="shared" ref="AJ55:AM55" si="200">IF(AJ38&lt;&gt;"",$A38,0)+IF(AJ39&lt;&gt;"",$A39,0)+IF(AJ40&lt;&gt;"",$A40,0)+IF(AJ41&lt;&gt;"",$A41,0)+IF(AJ42&lt;&gt;"",$A42,0)+IF(AK38&lt;&gt;"",$A38/2,0)+IF(AK39&lt;&gt;"",$A39/2,0)+IF(AK40&lt;&gt;"",$A40/2,0)+IF(AK41&lt;&gt;"",$A41/2,0)+IF(AK42&lt;&gt;"",$A42/2,0)</f>
        <v>6.5</v>
      </c>
      <c r="AK55" s="13" t="str">
        <f t="shared" ref="AK55:AM55" si="201">IF(AJ55&gt;=$C$59,$B$59,IF(AJ55&gt;=$C$60,$B$60,IF(AJ55&gt;=$C$61,$B$61,$B$62)))</f>
        <v>Dårlig</v>
      </c>
      <c r="AL55" s="8">
        <f t="shared" ref="AL55:AM55" si="202">IF(AL38&lt;&gt;"",$A38,0)+IF(AL39&lt;&gt;"",$A39,0)+IF(AL40&lt;&gt;"",$A40,0)+IF(AL41&lt;&gt;"",$A41,0)+IF(AL42&lt;&gt;"",$A42,0)+IF(AM38&lt;&gt;"",$A38/2,0)+IF(AM39&lt;&gt;"",$A39/2,0)+IF(AM40&lt;&gt;"",$A40/2,0)+IF(AM41&lt;&gt;"",$A41/2,0)+IF(AM42&lt;&gt;"",$A42/2,0)</f>
        <v>0</v>
      </c>
      <c r="AM55" s="13" t="str">
        <f t="shared" ref="AM55" si="203">IF(AL55&gt;=$C$59,$B$59,IF(AL55&gt;=$C$60,$B$60,IF(AL55&gt;=$C$61,$B$61,$B$62)))</f>
        <v>Dårlig</v>
      </c>
    </row>
    <row r="56" spans="2:39" ht="18" customHeight="1" x14ac:dyDescent="0.25">
      <c r="C56" s="2" t="s">
        <v>67</v>
      </c>
      <c r="D56" s="8">
        <f>IF(D44&lt;&gt;"",$A44,0)+IF(D45&lt;&gt;"",$A45,0)+IF(D46&lt;&gt;"",$A46,0)+IF(E44&lt;&gt;"",$A44/2,0)+IF(E45&lt;&gt;"",$A45/2,0)+IF(E46&lt;&gt;"",$A46/2,0)</f>
        <v>9</v>
      </c>
      <c r="E56" s="13" t="str">
        <f>IF(D56&gt;=$C$59,$B$59,IF(D56&gt;=$C$60,$B$60,IF(D56&gt;=$C$61,$B$61,$B$62)))</f>
        <v>Grei</v>
      </c>
      <c r="F56" s="8">
        <f t="shared" ref="F56:AM56" si="204">IF(F44&lt;&gt;"",$A44,0)+IF(F45&lt;&gt;"",$A45,0)+IF(F46&lt;&gt;"",$A46,0)+IF(G44&lt;&gt;"",$A44/2,0)+IF(G45&lt;&gt;"",$A45/2,0)+IF(G46&lt;&gt;"",$A46/2,0)</f>
        <v>9</v>
      </c>
      <c r="G56" s="13" t="str">
        <f t="shared" ref="G56:AM56" si="205">IF(F56&gt;=$C$59,$B$59,IF(F56&gt;=$C$60,$B$60,IF(F56&gt;=$C$61,$B$61,$B$62)))</f>
        <v>Grei</v>
      </c>
      <c r="H56" s="8">
        <f t="shared" ref="H56:AM56" si="206">IF(H44&lt;&gt;"",$A44,0)+IF(H45&lt;&gt;"",$A45,0)+IF(H46&lt;&gt;"",$A46,0)+IF(I44&lt;&gt;"",$A44/2,0)+IF(I45&lt;&gt;"",$A45/2,0)+IF(I46&lt;&gt;"",$A46/2,0)</f>
        <v>3</v>
      </c>
      <c r="I56" s="13" t="str">
        <f t="shared" ref="I56:AM56" si="207">IF(H56&gt;=$C$59,$B$59,IF(H56&gt;=$C$60,$B$60,IF(H56&gt;=$C$61,$B$61,$B$62)))</f>
        <v>Dårlig</v>
      </c>
      <c r="J56" s="8">
        <f t="shared" ref="J56:AM56" si="208">IF(J44&lt;&gt;"",$A44,0)+IF(J45&lt;&gt;"",$A45,0)+IF(J46&lt;&gt;"",$A46,0)+IF(K44&lt;&gt;"",$A44/2,0)+IF(K45&lt;&gt;"",$A45/2,0)+IF(K46&lt;&gt;"",$A46/2,0)</f>
        <v>9</v>
      </c>
      <c r="K56" s="13" t="str">
        <f t="shared" ref="K56:AM56" si="209">IF(J56&gt;=$C$59,$B$59,IF(J56&gt;=$C$60,$B$60,IF(J56&gt;=$C$61,$B$61,$B$62)))</f>
        <v>Grei</v>
      </c>
      <c r="L56" s="8">
        <f t="shared" ref="L56:AM56" si="210">IF(L44&lt;&gt;"",$A44,0)+IF(L45&lt;&gt;"",$A45,0)+IF(L46&lt;&gt;"",$A46,0)+IF(M44&lt;&gt;"",$A44/2,0)+IF(M45&lt;&gt;"",$A45/2,0)+IF(M46&lt;&gt;"",$A46/2,0)</f>
        <v>9</v>
      </c>
      <c r="M56" s="13" t="str">
        <f t="shared" ref="M56:AM56" si="211">IF(L56&gt;=$C$59,$B$59,IF(L56&gt;=$C$60,$B$60,IF(L56&gt;=$C$61,$B$61,$B$62)))</f>
        <v>Grei</v>
      </c>
      <c r="N56" s="8">
        <f t="shared" ref="N56:AM56" si="212">IF(N44&lt;&gt;"",$A44,0)+IF(N45&lt;&gt;"",$A45,0)+IF(N46&lt;&gt;"",$A46,0)+IF(O44&lt;&gt;"",$A44/2,0)+IF(O45&lt;&gt;"",$A45/2,0)+IF(O46&lt;&gt;"",$A46/2,0)</f>
        <v>9</v>
      </c>
      <c r="O56" s="13" t="str">
        <f t="shared" ref="O56:AM56" si="213">IF(N56&gt;=$C$59,$B$59,IF(N56&gt;=$C$60,$B$60,IF(N56&gt;=$C$61,$B$61,$B$62)))</f>
        <v>Grei</v>
      </c>
      <c r="P56" s="8">
        <f t="shared" ref="P56:AM56" si="214">IF(P44&lt;&gt;"",$A44,0)+IF(P45&lt;&gt;"",$A45,0)+IF(P46&lt;&gt;"",$A46,0)+IF(Q44&lt;&gt;"",$A44/2,0)+IF(Q45&lt;&gt;"",$A45/2,0)+IF(Q46&lt;&gt;"",$A46/2,0)</f>
        <v>15</v>
      </c>
      <c r="Q56" s="13" t="str">
        <f t="shared" ref="Q56:AM56" si="215">IF(P56&gt;=$C$59,$B$59,IF(P56&gt;=$C$60,$B$60,IF(P56&gt;=$C$61,$B$61,$B$62)))</f>
        <v>God</v>
      </c>
      <c r="R56" s="8">
        <f t="shared" ref="R56:AM56" si="216">IF(R44&lt;&gt;"",$A44,0)+IF(R45&lt;&gt;"",$A45,0)+IF(R46&lt;&gt;"",$A46,0)+IF(S44&lt;&gt;"",$A44/2,0)+IF(S45&lt;&gt;"",$A45/2,0)+IF(S46&lt;&gt;"",$A46/2,0)</f>
        <v>9</v>
      </c>
      <c r="S56" s="13" t="str">
        <f t="shared" ref="S56:AM56" si="217">IF(R56&gt;=$C$59,$B$59,IF(R56&gt;=$C$60,$B$60,IF(R56&gt;=$C$61,$B$61,$B$62)))</f>
        <v>Grei</v>
      </c>
      <c r="T56" s="8">
        <f t="shared" ref="T56:AM56" si="218">IF(T44&lt;&gt;"",$A44,0)+IF(T45&lt;&gt;"",$A45,0)+IF(T46&lt;&gt;"",$A46,0)+IF(U44&lt;&gt;"",$A44/2,0)+IF(U45&lt;&gt;"",$A45/2,0)+IF(U46&lt;&gt;"",$A46/2,0)</f>
        <v>12</v>
      </c>
      <c r="U56" s="13" t="str">
        <f t="shared" ref="U56:AM56" si="219">IF(T56&gt;=$C$59,$B$59,IF(T56&gt;=$C$60,$B$60,IF(T56&gt;=$C$61,$B$61,$B$62)))</f>
        <v>God</v>
      </c>
      <c r="V56" s="8">
        <f t="shared" ref="V56:AM56" si="220">IF(V44&lt;&gt;"",$A44,0)+IF(V45&lt;&gt;"",$A45,0)+IF(V46&lt;&gt;"",$A46,0)+IF(W44&lt;&gt;"",$A44/2,0)+IF(W45&lt;&gt;"",$A45/2,0)+IF(W46&lt;&gt;"",$A46/2,0)</f>
        <v>12</v>
      </c>
      <c r="W56" s="13" t="str">
        <f t="shared" ref="W56:AM56" si="221">IF(V56&gt;=$C$59,$B$59,IF(V56&gt;=$C$60,$B$60,IF(V56&gt;=$C$61,$B$61,$B$62)))</f>
        <v>God</v>
      </c>
      <c r="X56" s="8">
        <f t="shared" ref="X56:AM56" si="222">IF(X44&lt;&gt;"",$A44,0)+IF(X45&lt;&gt;"",$A45,0)+IF(X46&lt;&gt;"",$A46,0)+IF(Y44&lt;&gt;"",$A44/2,0)+IF(Y45&lt;&gt;"",$A45/2,0)+IF(Y46&lt;&gt;"",$A46/2,0)</f>
        <v>13.5</v>
      </c>
      <c r="Y56" s="13" t="str">
        <f t="shared" ref="Y56:AM56" si="223">IF(X56&gt;=$C$59,$B$59,IF(X56&gt;=$C$60,$B$60,IF(X56&gt;=$C$61,$B$61,$B$62)))</f>
        <v>God</v>
      </c>
      <c r="Z56" s="8">
        <f t="shared" ref="Z56:AM56" si="224">IF(Z44&lt;&gt;"",$A44,0)+IF(Z45&lt;&gt;"",$A45,0)+IF(Z46&lt;&gt;"",$A46,0)+IF(AA44&lt;&gt;"",$A44/2,0)+IF(AA45&lt;&gt;"",$A45/2,0)+IF(AA46&lt;&gt;"",$A46/2,0)</f>
        <v>3</v>
      </c>
      <c r="AA56" s="13" t="str">
        <f t="shared" ref="AA56:AM56" si="225">IF(Z56&gt;=$C$59,$B$59,IF(Z56&gt;=$C$60,$B$60,IF(Z56&gt;=$C$61,$B$61,$B$62)))</f>
        <v>Dårlig</v>
      </c>
      <c r="AB56" s="8">
        <f t="shared" ref="AB56:AM56" si="226">IF(AB44&lt;&gt;"",$A44,0)+IF(AB45&lt;&gt;"",$A45,0)+IF(AB46&lt;&gt;"",$A46,0)+IF(AC44&lt;&gt;"",$A44/2,0)+IF(AC45&lt;&gt;"",$A45/2,0)+IF(AC46&lt;&gt;"",$A46/2,0)</f>
        <v>9</v>
      </c>
      <c r="AC56" s="13" t="str">
        <f t="shared" ref="AC56:AM56" si="227">IF(AB56&gt;=$C$59,$B$59,IF(AB56&gt;=$C$60,$B$60,IF(AB56&gt;=$C$61,$B$61,$B$62)))</f>
        <v>Grei</v>
      </c>
      <c r="AD56" s="8">
        <f t="shared" ref="AD56:AM56" si="228">IF(AD44&lt;&gt;"",$A44,0)+IF(AD45&lt;&gt;"",$A45,0)+IF(AD46&lt;&gt;"",$A46,0)+IF(AE44&lt;&gt;"",$A44/2,0)+IF(AE45&lt;&gt;"",$A45/2,0)+IF(AE46&lt;&gt;"",$A46/2,0)</f>
        <v>9</v>
      </c>
      <c r="AE56" s="13" t="str">
        <f t="shared" ref="AE56:AM56" si="229">IF(AD56&gt;=$C$59,$B$59,IF(AD56&gt;=$C$60,$B$60,IF(AD56&gt;=$C$61,$B$61,$B$62)))</f>
        <v>Grei</v>
      </c>
      <c r="AF56" s="8">
        <f t="shared" ref="AF56:AM56" si="230">IF(AF44&lt;&gt;"",$A44,0)+IF(AF45&lt;&gt;"",$A45,0)+IF(AF46&lt;&gt;"",$A46,0)+IF(AG44&lt;&gt;"",$A44/2,0)+IF(AG45&lt;&gt;"",$A45/2,0)+IF(AG46&lt;&gt;"",$A46/2,0)</f>
        <v>9</v>
      </c>
      <c r="AG56" s="13" t="str">
        <f t="shared" ref="AG56:AM56" si="231">IF(AF56&gt;=$C$59,$B$59,IF(AF56&gt;=$C$60,$B$60,IF(AF56&gt;=$C$61,$B$61,$B$62)))</f>
        <v>Grei</v>
      </c>
      <c r="AH56" s="8">
        <f t="shared" ref="AH56:AM56" si="232">IF(AH44&lt;&gt;"",$A44,0)+IF(AH45&lt;&gt;"",$A45,0)+IF(AH46&lt;&gt;"",$A46,0)+IF(AI44&lt;&gt;"",$A44/2,0)+IF(AI45&lt;&gt;"",$A45/2,0)+IF(AI46&lt;&gt;"",$A46/2,0)</f>
        <v>9</v>
      </c>
      <c r="AI56" s="13" t="str">
        <f t="shared" ref="AI56:AM56" si="233">IF(AH56&gt;=$C$59,$B$59,IF(AH56&gt;=$C$60,$B$60,IF(AH56&gt;=$C$61,$B$61,$B$62)))</f>
        <v>Grei</v>
      </c>
      <c r="AJ56" s="8">
        <f t="shared" ref="AJ56:AM56" si="234">IF(AJ44&lt;&gt;"",$A44,0)+IF(AJ45&lt;&gt;"",$A45,0)+IF(AJ46&lt;&gt;"",$A46,0)+IF(AK44&lt;&gt;"",$A44/2,0)+IF(AK45&lt;&gt;"",$A45/2,0)+IF(AK46&lt;&gt;"",$A46/2,0)</f>
        <v>9</v>
      </c>
      <c r="AK56" s="13" t="str">
        <f t="shared" ref="AK56:AM56" si="235">IF(AJ56&gt;=$C$59,$B$59,IF(AJ56&gt;=$C$60,$B$60,IF(AJ56&gt;=$C$61,$B$61,$B$62)))</f>
        <v>Grei</v>
      </c>
      <c r="AL56" s="8">
        <f t="shared" ref="AL56:AM56" si="236">IF(AL44&lt;&gt;"",$A44,0)+IF(AL45&lt;&gt;"",$A45,0)+IF(AL46&lt;&gt;"",$A46,0)+IF(AM44&lt;&gt;"",$A44/2,0)+IF(AM45&lt;&gt;"",$A45/2,0)+IF(AM46&lt;&gt;"",$A46/2,0)</f>
        <v>7</v>
      </c>
      <c r="AM56" s="13" t="str">
        <f t="shared" ref="AM56" si="237">IF(AL56&gt;=$C$59,$B$59,IF(AL56&gt;=$C$60,$B$60,IF(AL56&gt;=$C$61,$B$61,$B$62)))</f>
        <v>Svak</v>
      </c>
    </row>
    <row r="58" spans="2:39" ht="18" x14ac:dyDescent="0.25">
      <c r="B58" s="32" t="s">
        <v>84</v>
      </c>
      <c r="C58" s="32"/>
    </row>
    <row r="59" spans="2:39" ht="15.75" x14ac:dyDescent="0.25">
      <c r="B59" s="34" t="s">
        <v>85</v>
      </c>
      <c r="C59" s="33">
        <v>12</v>
      </c>
    </row>
    <row r="60" spans="2:39" ht="15.75" x14ac:dyDescent="0.25">
      <c r="B60" s="34" t="s">
        <v>86</v>
      </c>
      <c r="C60" s="33">
        <v>9</v>
      </c>
    </row>
    <row r="61" spans="2:39" ht="15.75" x14ac:dyDescent="0.25">
      <c r="B61" s="34" t="s">
        <v>87</v>
      </c>
      <c r="C61" s="33">
        <v>7</v>
      </c>
    </row>
    <row r="62" spans="2:39" ht="15.75" x14ac:dyDescent="0.25">
      <c r="B62" s="34" t="s">
        <v>88</v>
      </c>
      <c r="C62" s="33" t="s">
        <v>89</v>
      </c>
    </row>
  </sheetData>
  <mergeCells count="80">
    <mergeCell ref="A5:C5"/>
    <mergeCell ref="AL49:AM49"/>
    <mergeCell ref="A27:C27"/>
    <mergeCell ref="A11:C11"/>
    <mergeCell ref="A32:C32"/>
    <mergeCell ref="A18:C18"/>
    <mergeCell ref="A37:C37"/>
    <mergeCell ref="A43:C43"/>
    <mergeCell ref="AB49:AC49"/>
    <mergeCell ref="AD49:AE49"/>
    <mergeCell ref="AF49:AG49"/>
    <mergeCell ref="AH49:AI49"/>
    <mergeCell ref="AJ49:AK49"/>
    <mergeCell ref="AH47:AI47"/>
    <mergeCell ref="AJ47:AK47"/>
    <mergeCell ref="AL47:AM47"/>
    <mergeCell ref="B58:C58"/>
    <mergeCell ref="D49:E49"/>
    <mergeCell ref="F49:G49"/>
    <mergeCell ref="H49:I49"/>
    <mergeCell ref="J49:K49"/>
    <mergeCell ref="L49:M49"/>
    <mergeCell ref="N49:O49"/>
    <mergeCell ref="P49:Q49"/>
    <mergeCell ref="R49:S49"/>
    <mergeCell ref="T49:U49"/>
    <mergeCell ref="V49:W49"/>
    <mergeCell ref="X49:Y49"/>
    <mergeCell ref="Z49:AA49"/>
    <mergeCell ref="X47:Y47"/>
    <mergeCell ref="Z47:AA47"/>
    <mergeCell ref="AB47:AC47"/>
    <mergeCell ref="AD47:AE47"/>
    <mergeCell ref="AF47:AG47"/>
    <mergeCell ref="N47:O47"/>
    <mergeCell ref="P47:Q47"/>
    <mergeCell ref="R47:S47"/>
    <mergeCell ref="T47:U47"/>
    <mergeCell ref="V47:W47"/>
    <mergeCell ref="D47:E47"/>
    <mergeCell ref="F47:G47"/>
    <mergeCell ref="H47:I47"/>
    <mergeCell ref="J47:K47"/>
    <mergeCell ref="L47:M47"/>
    <mergeCell ref="AD3:AE3"/>
    <mergeCell ref="AF3:AG3"/>
    <mergeCell ref="AH3:AI3"/>
    <mergeCell ref="AJ3:AK3"/>
    <mergeCell ref="AL3:AM3"/>
    <mergeCell ref="AH2:AI2"/>
    <mergeCell ref="AJ2:AK2"/>
    <mergeCell ref="AL2:AM2"/>
    <mergeCell ref="D3:E3"/>
    <mergeCell ref="F3:G3"/>
    <mergeCell ref="H3:I3"/>
    <mergeCell ref="J3:K3"/>
    <mergeCell ref="L3:M3"/>
    <mergeCell ref="N3:O3"/>
    <mergeCell ref="P3:Q3"/>
    <mergeCell ref="R3:S3"/>
    <mergeCell ref="T3:U3"/>
    <mergeCell ref="V3:W3"/>
    <mergeCell ref="X3:Y3"/>
    <mergeCell ref="Z3:AA3"/>
    <mergeCell ref="AB3:AC3"/>
    <mergeCell ref="X2:Y2"/>
    <mergeCell ref="Z2:AA2"/>
    <mergeCell ref="AB2:AC2"/>
    <mergeCell ref="AD2:AE2"/>
    <mergeCell ref="AF2:AG2"/>
    <mergeCell ref="N2:O2"/>
    <mergeCell ref="P2:Q2"/>
    <mergeCell ref="R2:S2"/>
    <mergeCell ref="T2:U2"/>
    <mergeCell ref="V2:W2"/>
    <mergeCell ref="D2:E2"/>
    <mergeCell ref="F2:G2"/>
    <mergeCell ref="H2:I2"/>
    <mergeCell ref="J2:K2"/>
    <mergeCell ref="L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Fullstendig Testmatrise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 Hellum</dc:creator>
  <cp:lastModifiedBy>Herman Hellum</cp:lastModifiedBy>
  <dcterms:created xsi:type="dcterms:W3CDTF">2026-05-19T01:01:56Z</dcterms:created>
  <dcterms:modified xsi:type="dcterms:W3CDTF">2026-05-19T01:02:04Z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Rows n Columns</dc:creator>
  <cp:lastModifiedBy>Rows n Columns</cp:lastModifiedBy>
  <dcterms:created xsi:type="dcterms:W3CDTF">2026-05-19T00:44:09.825Z</dcterms:created>
  <dcterms:modified xsi:type="dcterms:W3CDTF">2026-05-19T00:44:09.825Z</dcterms:modified>
</cp:coreProperties>
</file>